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worksheets/sheet5.xml" ContentType="application/vnd.openxmlformats-officedocument.spreadsheetml.worksheet+xml"/>
  <Override PartName="/xl/drawings/drawing3.xml" ContentType="application/vnd.openxmlformats-officedocument.drawing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loyee_Data" sheetId="1" state="visible" r:id="rId1"/>
    <sheet xmlns:r="http://schemas.openxmlformats.org/officeDocument/2006/relationships" name="Summary_KPI" sheetId="2" state="visible" r:id="rId2"/>
    <sheet xmlns:r="http://schemas.openxmlformats.org/officeDocument/2006/relationships" name="Headcount_Trend" sheetId="3" state="visible" r:id="rId3"/>
    <sheet xmlns:r="http://schemas.openxmlformats.org/officeDocument/2006/relationships" name="Regional_Distribution" sheetId="4" state="visible" r:id="rId4"/>
    <sheet xmlns:r="http://schemas.openxmlformats.org/officeDocument/2006/relationships" name="Position_Salary" sheetId="5" state="visible" r:id="rId5"/>
    <sheet xmlns:r="http://schemas.openxmlformats.org/officeDocument/2006/relationships" name="PowerBI_Setup_Guide" sheetId="6" state="visible" r:id="rId6"/>
    <sheet xmlns:r="http://schemas.openxmlformats.org/officeDocument/2006/relationships" name="Documentation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20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color rgb="001A1A2E"/>
      <sz val="9"/>
    </font>
    <font>
      <name val="Arial"/>
      <b val="1"/>
      <color rgb="00FFFFFF"/>
      <sz val="16"/>
    </font>
    <font>
      <name val="Arial"/>
      <b val="1"/>
      <color rgb="00FFFFFF"/>
      <sz val="9"/>
    </font>
    <font>
      <name val="Arial"/>
      <b val="1"/>
      <color rgb="002E75B6"/>
      <sz val="18"/>
    </font>
    <font>
      <name val="Arial"/>
      <b val="1"/>
      <color rgb="00375623"/>
      <sz val="18"/>
    </font>
    <font>
      <name val="Arial"/>
      <b val="1"/>
      <color rgb="007B2D8B"/>
      <sz val="18"/>
    </font>
    <font>
      <name val="Arial"/>
      <b val="1"/>
      <color rgb="00C9A84C"/>
      <sz val="18"/>
    </font>
    <font>
      <name val="Arial"/>
      <b val="1"/>
      <color rgb="00C00000"/>
      <sz val="18"/>
    </font>
    <font>
      <name val="Arial"/>
      <b val="1"/>
      <color rgb="001F7A4D"/>
      <sz val="18"/>
    </font>
    <font>
      <name val="Arial"/>
      <b val="1"/>
      <color rgb="00FFFFFF"/>
      <sz val="11"/>
    </font>
    <font>
      <name val="Arial"/>
      <b val="1"/>
      <color rgb="002E75B6"/>
      <sz val="10"/>
    </font>
    <font>
      <name val="Arial"/>
      <color rgb="001A1A2E"/>
      <sz val="10"/>
    </font>
    <font>
      <name val="Arial"/>
      <b val="1"/>
      <color rgb="001A1A2E"/>
      <sz val="10"/>
    </font>
    <font>
      <name val="Arial"/>
      <color rgb="002E75B6"/>
      <sz val="10"/>
    </font>
    <font>
      <name val="Arial"/>
      <b val="1"/>
      <color rgb="00FFFFFF"/>
      <sz val="14"/>
    </font>
    <font>
      <name val="Arial"/>
      <i val="1"/>
      <color rgb="00808080"/>
      <sz val="10"/>
    </font>
    <font>
      <name val="Arial"/>
      <b val="1"/>
      <color rgb="00FFFFFF"/>
      <sz val="13"/>
    </font>
    <font>
      <name val="Arial"/>
      <b val="1"/>
      <color rgb="002E75B6"/>
      <sz val="9"/>
    </font>
  </fonts>
  <fills count="11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FFF"/>
      </patternFill>
    </fill>
    <fill>
      <patternFill patternType="solid">
        <fgColor rgb="00F2F2F2"/>
      </patternFill>
    </fill>
    <fill>
      <patternFill patternType="solid">
        <fgColor rgb="002E75B6"/>
      </patternFill>
    </fill>
    <fill>
      <patternFill patternType="solid">
        <fgColor rgb="00375623"/>
      </patternFill>
    </fill>
    <fill>
      <patternFill patternType="solid">
        <fgColor rgb="007B2D8B"/>
      </patternFill>
    </fill>
    <fill>
      <patternFill patternType="solid">
        <fgColor rgb="00C9A84C"/>
      </patternFill>
    </fill>
    <fill>
      <patternFill patternType="solid">
        <fgColor rgb="00C00000"/>
      </patternFill>
    </fill>
    <fill>
      <patternFill patternType="solid">
        <fgColor rgb="001F7A4D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6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3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3" fontId="2" fillId="4" borderId="1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5" borderId="0" applyAlignment="1" pivotButton="0" quotePrefix="0" xfId="0">
      <alignment horizontal="center" vertical="center"/>
    </xf>
    <xf numFmtId="0" fontId="4" fillId="6" borderId="0" applyAlignment="1" pivotButton="0" quotePrefix="0" xfId="0">
      <alignment horizontal="center" vertical="center"/>
    </xf>
    <xf numFmtId="0" fontId="4" fillId="7" borderId="0" applyAlignment="1" pivotButton="0" quotePrefix="0" xfId="0">
      <alignment horizontal="center" vertical="center"/>
    </xf>
    <xf numFmtId="0" fontId="4" fillId="8" borderId="0" applyAlignment="1" pivotButton="0" quotePrefix="0" xfId="0">
      <alignment horizontal="center" vertical="center"/>
    </xf>
    <xf numFmtId="0" fontId="4" fillId="9" borderId="0" applyAlignment="1" pivotButton="0" quotePrefix="0" xfId="0">
      <alignment horizontal="center" vertical="center"/>
    </xf>
    <xf numFmtId="0" fontId="4" fillId="10" borderId="0" applyAlignment="1" pivotButton="0" quotePrefix="0" xfId="0">
      <alignment horizontal="center" vertical="center"/>
    </xf>
    <xf numFmtId="0" fontId="5" fillId="4" borderId="0" applyAlignment="1" pivotButton="0" quotePrefix="0" xfId="0">
      <alignment horizontal="center" vertical="center"/>
    </xf>
    <xf numFmtId="0" fontId="6" fillId="4" borderId="0" applyAlignment="1" pivotButton="0" quotePrefix="0" xfId="0">
      <alignment horizontal="center" vertical="center"/>
    </xf>
    <xf numFmtId="0" fontId="7" fillId="4" borderId="0" applyAlignment="1" pivotButton="0" quotePrefix="0" xfId="0">
      <alignment horizontal="center" vertical="center"/>
    </xf>
    <xf numFmtId="0" fontId="8" fillId="4" borderId="0" applyAlignment="1" pivotButton="0" quotePrefix="0" xfId="0">
      <alignment horizontal="center" vertical="center"/>
    </xf>
    <xf numFmtId="3" fontId="9" fillId="4" borderId="0" applyAlignment="1" pivotButton="0" quotePrefix="0" xfId="0">
      <alignment horizontal="center" vertical="center"/>
    </xf>
    <xf numFmtId="0" fontId="10" fillId="4" borderId="0" applyAlignment="1" pivotButton="0" quotePrefix="0" xfId="0">
      <alignment horizontal="center" vertical="center"/>
    </xf>
    <xf numFmtId="0" fontId="11" fillId="5" borderId="1" applyAlignment="1" pivotButton="0" quotePrefix="0" xfId="0">
      <alignment horizontal="center" vertical="center"/>
    </xf>
    <xf numFmtId="0" fontId="0" fillId="0" borderId="1" pivotButton="0" quotePrefix="0" xfId="0"/>
    <xf numFmtId="0" fontId="11" fillId="5" borderId="1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12" fillId="3" borderId="1" applyAlignment="1" pivotButton="0" quotePrefix="0" xfId="0">
      <alignment horizontal="left" vertical="center"/>
    </xf>
    <xf numFmtId="0" fontId="13" fillId="3" borderId="1" applyAlignment="1" pivotButton="0" quotePrefix="0" xfId="0">
      <alignment horizontal="center" vertical="center"/>
    </xf>
    <xf numFmtId="164" fontId="13" fillId="3" borderId="1" applyAlignment="1" pivotButton="0" quotePrefix="0" xfId="0">
      <alignment horizontal="center" vertical="center"/>
    </xf>
    <xf numFmtId="3" fontId="13" fillId="3" borderId="1" applyAlignment="1" pivotButton="0" quotePrefix="0" xfId="0">
      <alignment horizontal="center" vertical="center"/>
    </xf>
    <xf numFmtId="2" fontId="13" fillId="3" borderId="1" applyAlignment="1" pivotButton="0" quotePrefix="0" xfId="0">
      <alignment horizontal="center" vertical="center"/>
    </xf>
    <xf numFmtId="0" fontId="14" fillId="3" borderId="1" applyAlignment="1" pivotButton="0" quotePrefix="0" xfId="0">
      <alignment horizontal="center" vertical="center"/>
    </xf>
    <xf numFmtId="0" fontId="15" fillId="3" borderId="1" applyAlignment="1" pivotButton="0" quotePrefix="0" xfId="0">
      <alignment horizontal="center" vertical="center"/>
    </xf>
    <xf numFmtId="0" fontId="12" fillId="4" borderId="1" applyAlignment="1" pivotButton="0" quotePrefix="0" xfId="0">
      <alignment horizontal="left" vertical="center"/>
    </xf>
    <xf numFmtId="0" fontId="13" fillId="4" borderId="1" applyAlignment="1" pivotButton="0" quotePrefix="0" xfId="0">
      <alignment horizontal="center" vertical="center"/>
    </xf>
    <xf numFmtId="164" fontId="13" fillId="4" borderId="1" applyAlignment="1" pivotButton="0" quotePrefix="0" xfId="0">
      <alignment horizontal="center" vertical="center"/>
    </xf>
    <xf numFmtId="3" fontId="13" fillId="4" borderId="1" applyAlignment="1" pivotButton="0" quotePrefix="0" xfId="0">
      <alignment horizontal="center" vertical="center"/>
    </xf>
    <xf numFmtId="2" fontId="13" fillId="4" borderId="1" applyAlignment="1" pivotButton="0" quotePrefix="0" xfId="0">
      <alignment horizontal="center" vertical="center"/>
    </xf>
    <xf numFmtId="0" fontId="14" fillId="4" borderId="1" applyAlignment="1" pivotButton="0" quotePrefix="0" xfId="0">
      <alignment horizontal="center" vertical="center"/>
    </xf>
    <xf numFmtId="0" fontId="15" fillId="4" borderId="1" applyAlignment="1" pivotButton="0" quotePrefix="0" xfId="0">
      <alignment horizontal="center" vertical="center"/>
    </xf>
    <xf numFmtId="0" fontId="1" fillId="8" borderId="1" applyAlignment="1" pivotButton="0" quotePrefix="0" xfId="0">
      <alignment horizontal="left" vertical="center"/>
    </xf>
    <xf numFmtId="0" fontId="1" fillId="8" borderId="1" applyAlignment="1" pivotButton="0" quotePrefix="0" xfId="0">
      <alignment horizontal="center" vertical="center"/>
    </xf>
    <xf numFmtId="164" fontId="1" fillId="8" borderId="1" applyAlignment="1" pivotButton="0" quotePrefix="0" xfId="0">
      <alignment horizontal="center" vertical="center"/>
    </xf>
    <xf numFmtId="3" fontId="1" fillId="8" borderId="1" applyAlignment="1" pivotButton="0" quotePrefix="0" xfId="0">
      <alignment horizontal="center" vertical="center"/>
    </xf>
    <xf numFmtId="2" fontId="1" fillId="8" borderId="1" applyAlignment="1" pivotButton="0" quotePrefix="0" xfId="0">
      <alignment horizontal="center" vertical="center"/>
    </xf>
    <xf numFmtId="0" fontId="16" fillId="2" borderId="0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4" fillId="9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4" fillId="8" borderId="1" applyAlignment="1" pivotButton="0" quotePrefix="0" xfId="0">
      <alignment horizontal="center" vertical="center"/>
    </xf>
    <xf numFmtId="0" fontId="17" fillId="3" borderId="1" applyAlignment="1" pivotButton="0" quotePrefix="0" xfId="0">
      <alignment horizontal="center" vertical="center"/>
    </xf>
    <xf numFmtId="0" fontId="14" fillId="3" borderId="1" applyAlignment="1" pivotButton="0" quotePrefix="0" xfId="0">
      <alignment horizontal="left" vertical="center"/>
    </xf>
    <xf numFmtId="0" fontId="14" fillId="4" borderId="1" applyAlignment="1" pivotButton="0" quotePrefix="0" xfId="0">
      <alignment horizontal="left" vertical="center"/>
    </xf>
    <xf numFmtId="165" fontId="13" fillId="3" borderId="1" applyAlignment="1" pivotButton="0" quotePrefix="0" xfId="0">
      <alignment horizontal="center" vertical="center"/>
    </xf>
    <xf numFmtId="165" fontId="13" fillId="4" borderId="1" applyAlignment="1" pivotButton="0" quotePrefix="0" xfId="0">
      <alignment horizontal="center" vertical="center"/>
    </xf>
    <xf numFmtId="0" fontId="16" fillId="2" borderId="1" applyAlignment="1" pivotButton="0" quotePrefix="0" xfId="0">
      <alignment horizontal="center" vertical="center"/>
    </xf>
    <xf numFmtId="0" fontId="11" fillId="5" borderId="1" applyAlignment="1" pivotButton="0" quotePrefix="0" xfId="0">
      <alignment horizontal="left" vertical="center"/>
    </xf>
    <xf numFmtId="0" fontId="4" fillId="2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left" vertical="center" wrapText="1"/>
    </xf>
    <xf numFmtId="0" fontId="18" fillId="2" borderId="1" applyAlignment="1" pivotButton="0" quotePrefix="0" xfId="0">
      <alignment horizontal="center" vertical="center"/>
    </xf>
    <xf numFmtId="0" fontId="19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left" vertical="center"/>
    </xf>
    <xf numFmtId="0" fontId="19" fillId="4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Headcount Growth Trend</a:t>
            </a:r>
          </a:p>
        </rich>
      </tx>
    </title>
    <plotArea>
      <lineChart>
        <grouping val="standard"/>
        <ser>
          <idx val="0"/>
          <order val="0"/>
          <tx>
            <strRef>
              <f>'Headcount_Trend'!B3</f>
            </strRef>
          </tx>
          <spPr>
            <a:ln xmlns:a="http://schemas.openxmlformats.org/drawingml/2006/main">
              <a:solidFill>
                <a:srgbClr val="2E75B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'Headcount_Trend'!$A$4:$A$13</f>
            </numRef>
          </cat>
          <val>
            <numRef>
              <f>'Headcount_Trend'!$B$4:$B$13</f>
            </numRef>
          </val>
        </ser>
        <ser>
          <idx val="1"/>
          <order val="1"/>
          <tx>
            <strRef>
              <f>'Headcount_Trend'!C3</f>
            </strRef>
          </tx>
          <spPr>
            <a:ln xmlns:a="http://schemas.openxmlformats.org/drawingml/2006/main">
              <a:solidFill>
                <a:srgbClr val="375623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'Headcount_Trend'!$A$4:$A$13</f>
            </numRef>
          </cat>
          <val>
            <numRef>
              <f>'Headcount_Trend'!$C$4:$C$13</f>
            </numRef>
          </val>
        </ser>
        <ser>
          <idx val="2"/>
          <order val="2"/>
          <tx>
            <strRef>
              <f>'Headcount_Trend'!D3</f>
            </strRef>
          </tx>
          <spPr>
            <a:ln xmlns:a="http://schemas.openxmlformats.org/drawingml/2006/main">
              <a:solidFill>
                <a:srgbClr val="C0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'Headcount_Trend'!$A$4:$A$13</f>
            </numRef>
          </cat>
          <val>
            <numRef>
              <f>'Headcount_Trend'!$D$4:$D$13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Year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Employees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Headcount by Region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'Regional_Distribution'!B3</f>
            </strRef>
          </tx>
          <spPr>
            <a:solidFill xmlns:a="http://schemas.openxmlformats.org/drawingml/2006/main">
              <a:srgbClr val="2E75B6"/>
            </a:solidFill>
            <a:ln xmlns:a="http://schemas.openxmlformats.org/drawingml/2006/main">
              <a:prstDash val="solid"/>
            </a:ln>
          </spPr>
          <cat>
            <numRef>
              <f>'Regional_Distribution'!$A$4:$A$10</f>
            </numRef>
          </cat>
          <val>
            <numRef>
              <f>'Regional_Distribution'!$B$4:$B$10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Employees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Workforce by Position</a:t>
            </a:r>
          </a:p>
        </rich>
      </tx>
    </title>
    <plotArea>
      <pieChart>
        <varyColors val="1"/>
        <ser>
          <idx val="0"/>
          <order val="0"/>
          <tx>
            <strRef>
              <f>'Position_Salary'!B3</f>
            </strRef>
          </tx>
          <spPr>
            <a:ln xmlns:a="http://schemas.openxmlformats.org/drawingml/2006/main">
              <a:prstDash val="solid"/>
            </a:ln>
          </spPr>
          <cat>
            <numRef>
              <f>'Position_Salary'!$A$4:$A$9</f>
            </numRef>
          </cat>
          <val>
            <numRef>
              <f>'Position_Salary'!$B$4:$B$9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2</row>
      <rowOff>0</rowOff>
    </from>
    <ext cx="6480000" cy="39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10</col>
      <colOff>0</colOff>
      <row>2</row>
      <rowOff>0</rowOff>
    </from>
    <ext cx="648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9</col>
      <colOff>0</colOff>
      <row>2</row>
      <rowOff>0</rowOff>
    </from>
    <ext cx="5040000" cy="39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tabColor rgb="001F3864"/>
    <outlinePr summaryBelow="1" summaryRight="1"/>
    <pageSetUpPr/>
  </sheetPr>
  <dimension ref="A1:N201"/>
  <sheetViews>
    <sheetView showGridLines="0" workbookViewId="0">
      <selection activeCell="A1" sqref="A1"/>
    </sheetView>
  </sheetViews>
  <sheetFormatPr baseColWidth="8" defaultRowHeight="15"/>
  <cols>
    <col width="9" customWidth="1" min="1" max="1"/>
    <col width="18" customWidth="1" min="2" max="2"/>
    <col width="9" customWidth="1" min="3" max="3"/>
    <col width="13" customWidth="1" min="4" max="4"/>
    <col width="13" customWidth="1" min="5" max="5"/>
    <col width="13" customWidth="1" min="6" max="6"/>
    <col width="13" customWidth="1" min="7" max="7"/>
    <col width="7" customWidth="1" min="8" max="8"/>
    <col width="13" customWidth="1" min="9" max="9"/>
    <col width="11" customWidth="1" min="10" max="10"/>
    <col width="14" customWidth="1" min="11" max="11"/>
    <col width="14" customWidth="1" min="12" max="12"/>
    <col width="13" customWidth="1" min="13" max="13"/>
    <col width="9" customWidth="1" min="14" max="14"/>
  </cols>
  <sheetData>
    <row r="1" ht="35" customHeight="1">
      <c r="A1" s="1" t="inlineStr">
        <is>
          <t>Emp_ID</t>
        </is>
      </c>
      <c r="B1" s="1" t="inlineStr">
        <is>
          <t>Full_Name</t>
        </is>
      </c>
      <c r="C1" s="1" t="inlineStr">
        <is>
          <t>Gender</t>
        </is>
      </c>
      <c r="D1" s="1" t="inlineStr">
        <is>
          <t>Department</t>
        </is>
      </c>
      <c r="E1" s="1" t="inlineStr">
        <is>
          <t>Position_Level</t>
        </is>
      </c>
      <c r="F1" s="1" t="inlineStr">
        <is>
          <t>Employment_Type</t>
        </is>
      </c>
      <c r="G1" s="1" t="inlineStr">
        <is>
          <t>Join_Date</t>
        </is>
      </c>
      <c r="H1" s="1" t="inlineStr">
        <is>
          <t>Age</t>
        </is>
      </c>
      <c r="I1" s="1" t="inlineStr">
        <is>
          <t>Education</t>
        </is>
      </c>
      <c r="J1" s="1" t="inlineStr">
        <is>
          <t>Region</t>
        </is>
      </c>
      <c r="K1" s="1" t="inlineStr">
        <is>
          <t>Salary</t>
        </is>
      </c>
      <c r="L1" s="1" t="inlineStr">
        <is>
          <t>Performance_Score</t>
        </is>
      </c>
      <c r="M1" s="1" t="inlineStr">
        <is>
          <t>Tenure_Years</t>
        </is>
      </c>
      <c r="N1" s="1" t="inlineStr">
        <is>
          <t>Status</t>
        </is>
      </c>
    </row>
    <row r="2">
      <c r="A2" s="2" t="inlineStr">
        <is>
          <t>EMP0001</t>
        </is>
      </c>
      <c r="B2" s="2" t="inlineStr">
        <is>
          <t>Budi Kusuma</t>
        </is>
      </c>
      <c r="C2" s="2" t="inlineStr">
        <is>
          <t>Male</t>
        </is>
      </c>
      <c r="D2" s="2" t="inlineStr">
        <is>
          <t>Marketing</t>
        </is>
      </c>
      <c r="E2" s="2" t="inlineStr">
        <is>
          <t>Junior</t>
        </is>
      </c>
      <c r="F2" s="2" t="inlineStr">
        <is>
          <t>Full-Time</t>
        </is>
      </c>
      <c r="G2" s="2" t="inlineStr">
        <is>
          <t>2016-11-24</t>
        </is>
      </c>
      <c r="H2" s="2" t="n">
        <v>56</v>
      </c>
      <c r="I2" s="2" t="inlineStr">
        <is>
          <t>Diploma</t>
        </is>
      </c>
      <c r="J2" s="2" t="inlineStr">
        <is>
          <t>Medan</t>
        </is>
      </c>
      <c r="K2" s="3" t="n">
        <v>5447674</v>
      </c>
      <c r="L2" s="2" t="n">
        <v>2.7</v>
      </c>
      <c r="M2" s="2" t="n">
        <v>8</v>
      </c>
      <c r="N2" s="2" t="inlineStr">
        <is>
          <t>Active</t>
        </is>
      </c>
    </row>
    <row r="3">
      <c r="A3" s="4" t="inlineStr">
        <is>
          <t>EMP0002</t>
        </is>
      </c>
      <c r="B3" s="4" t="inlineStr">
        <is>
          <t>Bagas Utama</t>
        </is>
      </c>
      <c r="C3" s="4" t="inlineStr">
        <is>
          <t>Male</t>
        </is>
      </c>
      <c r="D3" s="4" t="inlineStr">
        <is>
          <t>Legal</t>
        </is>
      </c>
      <c r="E3" s="4" t="inlineStr">
        <is>
          <t>Junior</t>
        </is>
      </c>
      <c r="F3" s="4" t="inlineStr">
        <is>
          <t>Full-Time</t>
        </is>
      </c>
      <c r="G3" s="4" t="inlineStr">
        <is>
          <t>2019-01-25</t>
        </is>
      </c>
      <c r="H3" s="4" t="n">
        <v>32</v>
      </c>
      <c r="I3" s="4" t="inlineStr">
        <is>
          <t>Master</t>
        </is>
      </c>
      <c r="J3" s="4" t="inlineStr">
        <is>
          <t>Bandung</t>
        </is>
      </c>
      <c r="K3" s="5" t="n">
        <v>5816807</v>
      </c>
      <c r="L3" s="4" t="n">
        <v>3</v>
      </c>
      <c r="M3" s="4" t="n">
        <v>5</v>
      </c>
      <c r="N3" s="4" t="inlineStr">
        <is>
          <t>Active</t>
        </is>
      </c>
    </row>
    <row r="4">
      <c r="A4" s="2" t="inlineStr">
        <is>
          <t>EMP0003</t>
        </is>
      </c>
      <c r="B4" s="2" t="inlineStr">
        <is>
          <t>Andi Hidayat</t>
        </is>
      </c>
      <c r="C4" s="2" t="inlineStr">
        <is>
          <t>Male</t>
        </is>
      </c>
      <c r="D4" s="2" t="inlineStr">
        <is>
          <t>Finance</t>
        </is>
      </c>
      <c r="E4" s="2" t="inlineStr">
        <is>
          <t>Senior</t>
        </is>
      </c>
      <c r="F4" s="2" t="inlineStr">
        <is>
          <t>Part-Time</t>
        </is>
      </c>
      <c r="G4" s="2" t="inlineStr">
        <is>
          <t>2019-01-24</t>
        </is>
      </c>
      <c r="H4" s="2" t="n">
        <v>51</v>
      </c>
      <c r="I4" s="2" t="inlineStr">
        <is>
          <t>Bachelor</t>
        </is>
      </c>
      <c r="J4" s="2" t="inlineStr">
        <is>
          <t>Medan</t>
        </is>
      </c>
      <c r="K4" s="3" t="n">
        <v>8277300</v>
      </c>
      <c r="L4" s="2" t="n">
        <v>3.2</v>
      </c>
      <c r="M4" s="2" t="n">
        <v>5</v>
      </c>
      <c r="N4" s="2" t="inlineStr">
        <is>
          <t>Active</t>
        </is>
      </c>
    </row>
    <row r="5">
      <c r="A5" s="4" t="inlineStr">
        <is>
          <t>EMP0004</t>
        </is>
      </c>
      <c r="B5" s="4" t="inlineStr">
        <is>
          <t>Dina Utama</t>
        </is>
      </c>
      <c r="C5" s="4" t="inlineStr">
        <is>
          <t>Female</t>
        </is>
      </c>
      <c r="D5" s="4" t="inlineStr">
        <is>
          <t>Finance</t>
        </is>
      </c>
      <c r="E5" s="4" t="inlineStr">
        <is>
          <t>Staff</t>
        </is>
      </c>
      <c r="F5" s="4" t="inlineStr">
        <is>
          <t>Full-Time</t>
        </is>
      </c>
      <c r="G5" s="4" t="inlineStr">
        <is>
          <t>2019-02-28</t>
        </is>
      </c>
      <c r="H5" s="4" t="n">
        <v>36</v>
      </c>
      <c r="I5" s="4" t="inlineStr">
        <is>
          <t>Master</t>
        </is>
      </c>
      <c r="J5" s="4" t="inlineStr">
        <is>
          <t>Medan</t>
        </is>
      </c>
      <c r="K5" s="5" t="n">
        <v>4362720</v>
      </c>
      <c r="L5" s="4" t="n">
        <v>4.1</v>
      </c>
      <c r="M5" s="4" t="n">
        <v>5</v>
      </c>
      <c r="N5" s="4" t="inlineStr">
        <is>
          <t>Active</t>
        </is>
      </c>
    </row>
    <row r="6">
      <c r="A6" s="2" t="inlineStr">
        <is>
          <t>EMP0005</t>
        </is>
      </c>
      <c r="B6" s="2" t="inlineStr">
        <is>
          <t>Ayu Utama</t>
        </is>
      </c>
      <c r="C6" s="2" t="inlineStr">
        <is>
          <t>Female</t>
        </is>
      </c>
      <c r="D6" s="2" t="inlineStr">
        <is>
          <t>IT</t>
        </is>
      </c>
      <c r="E6" s="2" t="inlineStr">
        <is>
          <t>Director</t>
        </is>
      </c>
      <c r="F6" s="2" t="inlineStr">
        <is>
          <t>Contract</t>
        </is>
      </c>
      <c r="G6" s="2" t="inlineStr">
        <is>
          <t>2016-10-21</t>
        </is>
      </c>
      <c r="H6" s="2" t="n">
        <v>32</v>
      </c>
      <c r="I6" s="2" t="inlineStr">
        <is>
          <t>Bachelor</t>
        </is>
      </c>
      <c r="J6" s="2" t="inlineStr">
        <is>
          <t>Surabaya</t>
        </is>
      </c>
      <c r="K6" s="3" t="n">
        <v>26343817</v>
      </c>
      <c r="L6" s="2" t="n">
        <v>3.4</v>
      </c>
      <c r="M6" s="2" t="n">
        <v>8</v>
      </c>
      <c r="N6" s="2" t="inlineStr">
        <is>
          <t>Inactive</t>
        </is>
      </c>
    </row>
    <row r="7">
      <c r="A7" s="4" t="inlineStr">
        <is>
          <t>EMP0006</t>
        </is>
      </c>
      <c r="B7" s="4" t="inlineStr">
        <is>
          <t>Hendra Santoso</t>
        </is>
      </c>
      <c r="C7" s="4" t="inlineStr">
        <is>
          <t>Male</t>
        </is>
      </c>
      <c r="D7" s="4" t="inlineStr">
        <is>
          <t>Marketing</t>
        </is>
      </c>
      <c r="E7" s="4" t="inlineStr">
        <is>
          <t>Staff</t>
        </is>
      </c>
      <c r="F7" s="4" t="inlineStr">
        <is>
          <t>Part-Time</t>
        </is>
      </c>
      <c r="G7" s="4" t="inlineStr">
        <is>
          <t>2021-05-03</t>
        </is>
      </c>
      <c r="H7" s="4" t="n">
        <v>35</v>
      </c>
      <c r="I7" s="4" t="inlineStr">
        <is>
          <t>PhD</t>
        </is>
      </c>
      <c r="J7" s="4" t="inlineStr">
        <is>
          <t>Bali</t>
        </is>
      </c>
      <c r="K7" s="5" t="n">
        <v>5035913</v>
      </c>
      <c r="L7" s="4" t="n">
        <v>3.3</v>
      </c>
      <c r="M7" s="4" t="n">
        <v>3</v>
      </c>
      <c r="N7" s="4" t="inlineStr">
        <is>
          <t>Active</t>
        </is>
      </c>
    </row>
    <row r="8">
      <c r="A8" s="2" t="inlineStr">
        <is>
          <t>EMP0007</t>
        </is>
      </c>
      <c r="B8" s="2" t="inlineStr">
        <is>
          <t>Maya Pratama</t>
        </is>
      </c>
      <c r="C8" s="2" t="inlineStr">
        <is>
          <t>Female</t>
        </is>
      </c>
      <c r="D8" s="2" t="inlineStr">
        <is>
          <t>IT</t>
        </is>
      </c>
      <c r="E8" s="2" t="inlineStr">
        <is>
          <t>Junior</t>
        </is>
      </c>
      <c r="F8" s="2" t="inlineStr">
        <is>
          <t>Full-Time</t>
        </is>
      </c>
      <c r="G8" s="2" t="inlineStr">
        <is>
          <t>2023-09-09</t>
        </is>
      </c>
      <c r="H8" s="2" t="n">
        <v>49</v>
      </c>
      <c r="I8" s="2" t="inlineStr">
        <is>
          <t>Master</t>
        </is>
      </c>
      <c r="J8" s="2" t="inlineStr">
        <is>
          <t>Medan</t>
        </is>
      </c>
      <c r="K8" s="3" t="n">
        <v>5942994</v>
      </c>
      <c r="L8" s="2" t="n">
        <v>5</v>
      </c>
      <c r="M8" s="2" t="n">
        <v>1</v>
      </c>
      <c r="N8" s="2" t="inlineStr">
        <is>
          <t>Active</t>
        </is>
      </c>
    </row>
    <row r="9">
      <c r="A9" s="4" t="inlineStr">
        <is>
          <t>EMP0008</t>
        </is>
      </c>
      <c r="B9" s="4" t="inlineStr">
        <is>
          <t>Dewi Santoso</t>
        </is>
      </c>
      <c r="C9" s="4" t="inlineStr">
        <is>
          <t>Female</t>
        </is>
      </c>
      <c r="D9" s="4" t="inlineStr">
        <is>
          <t>Finance</t>
        </is>
      </c>
      <c r="E9" s="4" t="inlineStr">
        <is>
          <t>Junior</t>
        </is>
      </c>
      <c r="F9" s="4" t="inlineStr">
        <is>
          <t>Full-Time</t>
        </is>
      </c>
      <c r="G9" s="4" t="inlineStr">
        <is>
          <t>2021-10-03</t>
        </is>
      </c>
      <c r="H9" s="4" t="n">
        <v>46</v>
      </c>
      <c r="I9" s="4" t="inlineStr">
        <is>
          <t>Bachelor</t>
        </is>
      </c>
      <c r="J9" s="4" t="inlineStr">
        <is>
          <t>Medan</t>
        </is>
      </c>
      <c r="K9" s="5" t="n">
        <v>6193671</v>
      </c>
      <c r="L9" s="4" t="n">
        <v>4.9</v>
      </c>
      <c r="M9" s="4" t="n">
        <v>3</v>
      </c>
      <c r="N9" s="4" t="inlineStr">
        <is>
          <t>Active</t>
        </is>
      </c>
    </row>
    <row r="10">
      <c r="A10" s="2" t="inlineStr">
        <is>
          <t>EMP0009</t>
        </is>
      </c>
      <c r="B10" s="2" t="inlineStr">
        <is>
          <t>Andi Kusuma</t>
        </is>
      </c>
      <c r="C10" s="2" t="inlineStr">
        <is>
          <t>Male</t>
        </is>
      </c>
      <c r="D10" s="2" t="inlineStr">
        <is>
          <t>Sales</t>
        </is>
      </c>
      <c r="E10" s="2" t="inlineStr">
        <is>
          <t>Staff</t>
        </is>
      </c>
      <c r="F10" s="2" t="inlineStr">
        <is>
          <t>Full-Time</t>
        </is>
      </c>
      <c r="G10" s="2" t="inlineStr">
        <is>
          <t>2017-08-01</t>
        </is>
      </c>
      <c r="H10" s="2" t="n">
        <v>38</v>
      </c>
      <c r="I10" s="2" t="inlineStr">
        <is>
          <t>PhD</t>
        </is>
      </c>
      <c r="J10" s="2" t="inlineStr">
        <is>
          <t>Semarang</t>
        </is>
      </c>
      <c r="K10" s="3" t="n">
        <v>4250983</v>
      </c>
      <c r="L10" s="2" t="n">
        <v>4.8</v>
      </c>
      <c r="M10" s="2" t="n">
        <v>7</v>
      </c>
      <c r="N10" s="2" t="inlineStr">
        <is>
          <t>Active</t>
        </is>
      </c>
    </row>
    <row r="11">
      <c r="A11" s="4" t="inlineStr">
        <is>
          <t>EMP0010</t>
        </is>
      </c>
      <c r="B11" s="4" t="inlineStr">
        <is>
          <t>Wulan Utama</t>
        </is>
      </c>
      <c r="C11" s="4" t="inlineStr">
        <is>
          <t>Female</t>
        </is>
      </c>
      <c r="D11" s="4" t="inlineStr">
        <is>
          <t>HR</t>
        </is>
      </c>
      <c r="E11" s="4" t="inlineStr">
        <is>
          <t>Senior</t>
        </is>
      </c>
      <c r="F11" s="4" t="inlineStr">
        <is>
          <t>Part-Time</t>
        </is>
      </c>
      <c r="G11" s="4" t="inlineStr">
        <is>
          <t>2023-09-01</t>
        </is>
      </c>
      <c r="H11" s="4" t="n">
        <v>42</v>
      </c>
      <c r="I11" s="4" t="inlineStr">
        <is>
          <t>Bachelor</t>
        </is>
      </c>
      <c r="J11" s="4" t="inlineStr">
        <is>
          <t>Jakarta</t>
        </is>
      </c>
      <c r="K11" s="5" t="n">
        <v>10190471</v>
      </c>
      <c r="L11" s="4" t="n">
        <v>4.7</v>
      </c>
      <c r="M11" s="4" t="n">
        <v>1</v>
      </c>
      <c r="N11" s="4" t="inlineStr">
        <is>
          <t>Active</t>
        </is>
      </c>
    </row>
    <row r="12">
      <c r="A12" s="2" t="inlineStr">
        <is>
          <t>EMP0011</t>
        </is>
      </c>
      <c r="B12" s="2" t="inlineStr">
        <is>
          <t>Lina Santoso</t>
        </is>
      </c>
      <c r="C12" s="2" t="inlineStr">
        <is>
          <t>Female</t>
        </is>
      </c>
      <c r="D12" s="2" t="inlineStr">
        <is>
          <t>Marketing</t>
        </is>
      </c>
      <c r="E12" s="2" t="inlineStr">
        <is>
          <t>Manager</t>
        </is>
      </c>
      <c r="F12" s="2" t="inlineStr">
        <is>
          <t>Contract</t>
        </is>
      </c>
      <c r="G12" s="2" t="inlineStr">
        <is>
          <t>2016-12-16</t>
        </is>
      </c>
      <c r="H12" s="2" t="n">
        <v>26</v>
      </c>
      <c r="I12" s="2" t="inlineStr">
        <is>
          <t>PhD</t>
        </is>
      </c>
      <c r="J12" s="2" t="inlineStr">
        <is>
          <t>Bali</t>
        </is>
      </c>
      <c r="K12" s="3" t="n">
        <v>19646254</v>
      </c>
      <c r="L12" s="2" t="n">
        <v>2.8</v>
      </c>
      <c r="M12" s="2" t="n">
        <v>8</v>
      </c>
      <c r="N12" s="2" t="inlineStr">
        <is>
          <t>Active</t>
        </is>
      </c>
    </row>
    <row r="13">
      <c r="A13" s="4" t="inlineStr">
        <is>
          <t>EMP0012</t>
        </is>
      </c>
      <c r="B13" s="4" t="inlineStr">
        <is>
          <t>Dimas Hidayat</t>
        </is>
      </c>
      <c r="C13" s="4" t="inlineStr">
        <is>
          <t>Male</t>
        </is>
      </c>
      <c r="D13" s="4" t="inlineStr">
        <is>
          <t>Marketing</t>
        </is>
      </c>
      <c r="E13" s="4" t="inlineStr">
        <is>
          <t>Manager</t>
        </is>
      </c>
      <c r="F13" s="4" t="inlineStr">
        <is>
          <t>Part-Time</t>
        </is>
      </c>
      <c r="G13" s="4" t="inlineStr">
        <is>
          <t>2018-12-10</t>
        </is>
      </c>
      <c r="H13" s="4" t="n">
        <v>47</v>
      </c>
      <c r="I13" s="4" t="inlineStr">
        <is>
          <t>PhD</t>
        </is>
      </c>
      <c r="J13" s="4" t="inlineStr">
        <is>
          <t>Makassar</t>
        </is>
      </c>
      <c r="K13" s="5" t="n">
        <v>17880392</v>
      </c>
      <c r="L13" s="4" t="n">
        <v>4.7</v>
      </c>
      <c r="M13" s="4" t="n">
        <v>6</v>
      </c>
      <c r="N13" s="4" t="inlineStr">
        <is>
          <t>Active</t>
        </is>
      </c>
    </row>
    <row r="14">
      <c r="A14" s="2" t="inlineStr">
        <is>
          <t>EMP0013</t>
        </is>
      </c>
      <c r="B14" s="2" t="inlineStr">
        <is>
          <t>Fajar Wijaya</t>
        </is>
      </c>
      <c r="C14" s="2" t="inlineStr">
        <is>
          <t>Male</t>
        </is>
      </c>
      <c r="D14" s="2" t="inlineStr">
        <is>
          <t>Sales</t>
        </is>
      </c>
      <c r="E14" s="2" t="inlineStr">
        <is>
          <t>Staff</t>
        </is>
      </c>
      <c r="F14" s="2" t="inlineStr">
        <is>
          <t>Full-Time</t>
        </is>
      </c>
      <c r="G14" s="2" t="inlineStr">
        <is>
          <t>2018-10-08</t>
        </is>
      </c>
      <c r="H14" s="2" t="n">
        <v>22</v>
      </c>
      <c r="I14" s="2" t="inlineStr">
        <is>
          <t>Diploma</t>
        </is>
      </c>
      <c r="J14" s="2" t="inlineStr">
        <is>
          <t>Makassar</t>
        </is>
      </c>
      <c r="K14" s="3" t="n">
        <v>4116232</v>
      </c>
      <c r="L14" s="2" t="n">
        <v>2.7</v>
      </c>
      <c r="M14" s="2" t="n">
        <v>6</v>
      </c>
      <c r="N14" s="2" t="inlineStr">
        <is>
          <t>Active</t>
        </is>
      </c>
    </row>
    <row r="15">
      <c r="A15" s="4" t="inlineStr">
        <is>
          <t>EMP0014</t>
        </is>
      </c>
      <c r="B15" s="4" t="inlineStr">
        <is>
          <t>Dewi Utama</t>
        </is>
      </c>
      <c r="C15" s="4" t="inlineStr">
        <is>
          <t>Female</t>
        </is>
      </c>
      <c r="D15" s="4" t="inlineStr">
        <is>
          <t>IT</t>
        </is>
      </c>
      <c r="E15" s="4" t="inlineStr">
        <is>
          <t>Director</t>
        </is>
      </c>
      <c r="F15" s="4" t="inlineStr">
        <is>
          <t>Full-Time</t>
        </is>
      </c>
      <c r="G15" s="4" t="inlineStr">
        <is>
          <t>2023-03-24</t>
        </is>
      </c>
      <c r="H15" s="4" t="n">
        <v>58</v>
      </c>
      <c r="I15" s="4" t="inlineStr">
        <is>
          <t>Bachelor</t>
        </is>
      </c>
      <c r="J15" s="4" t="inlineStr">
        <is>
          <t>Surabaya</t>
        </is>
      </c>
      <c r="K15" s="5" t="n">
        <v>30692335</v>
      </c>
      <c r="L15" s="4" t="n">
        <v>4.5</v>
      </c>
      <c r="M15" s="4" t="n">
        <v>1</v>
      </c>
      <c r="N15" s="4" t="inlineStr">
        <is>
          <t>Active</t>
        </is>
      </c>
    </row>
    <row r="16">
      <c r="A16" s="2" t="inlineStr">
        <is>
          <t>EMP0015</t>
        </is>
      </c>
      <c r="B16" s="2" t="inlineStr">
        <is>
          <t>Wahyu Rahmat</t>
        </is>
      </c>
      <c r="C16" s="2" t="inlineStr">
        <is>
          <t>Male</t>
        </is>
      </c>
      <c r="D16" s="2" t="inlineStr">
        <is>
          <t>Legal</t>
        </is>
      </c>
      <c r="E16" s="2" t="inlineStr">
        <is>
          <t>Supervisor</t>
        </is>
      </c>
      <c r="F16" s="2" t="inlineStr">
        <is>
          <t>Full-Time</t>
        </is>
      </c>
      <c r="G16" s="2" t="inlineStr">
        <is>
          <t>2015-11-21</t>
        </is>
      </c>
      <c r="H16" s="2" t="n">
        <v>28</v>
      </c>
      <c r="I16" s="2" t="inlineStr">
        <is>
          <t>Diploma</t>
        </is>
      </c>
      <c r="J16" s="2" t="inlineStr">
        <is>
          <t>Makassar</t>
        </is>
      </c>
      <c r="K16" s="3" t="n">
        <v>11817907</v>
      </c>
      <c r="L16" s="2" t="n">
        <v>4.7</v>
      </c>
      <c r="M16" s="2" t="n">
        <v>9</v>
      </c>
      <c r="N16" s="2" t="inlineStr">
        <is>
          <t>Active</t>
        </is>
      </c>
    </row>
    <row r="17">
      <c r="A17" s="4" t="inlineStr">
        <is>
          <t>EMP0016</t>
        </is>
      </c>
      <c r="B17" s="4" t="inlineStr">
        <is>
          <t>Bagas Susanto</t>
        </is>
      </c>
      <c r="C17" s="4" t="inlineStr">
        <is>
          <t>Male</t>
        </is>
      </c>
      <c r="D17" s="4" t="inlineStr">
        <is>
          <t>HR</t>
        </is>
      </c>
      <c r="E17" s="4" t="inlineStr">
        <is>
          <t>Supervisor</t>
        </is>
      </c>
      <c r="F17" s="4" t="inlineStr">
        <is>
          <t>Full-Time</t>
        </is>
      </c>
      <c r="G17" s="4" t="inlineStr">
        <is>
          <t>2022-04-28</t>
        </is>
      </c>
      <c r="H17" s="4" t="n">
        <v>26</v>
      </c>
      <c r="I17" s="4" t="inlineStr">
        <is>
          <t>Bachelor</t>
        </is>
      </c>
      <c r="J17" s="4" t="inlineStr">
        <is>
          <t>Semarang</t>
        </is>
      </c>
      <c r="K17" s="5" t="n">
        <v>13367900</v>
      </c>
      <c r="L17" s="4" t="n">
        <v>2.7</v>
      </c>
      <c r="M17" s="4" t="n">
        <v>2</v>
      </c>
      <c r="N17" s="4" t="inlineStr">
        <is>
          <t>Active</t>
        </is>
      </c>
    </row>
    <row r="18">
      <c r="A18" s="2" t="inlineStr">
        <is>
          <t>EMP0017</t>
        </is>
      </c>
      <c r="B18" s="2" t="inlineStr">
        <is>
          <t>Andi Utama</t>
        </is>
      </c>
      <c r="C18" s="2" t="inlineStr">
        <is>
          <t>Male</t>
        </is>
      </c>
      <c r="D18" s="2" t="inlineStr">
        <is>
          <t>HR</t>
        </is>
      </c>
      <c r="E18" s="2" t="inlineStr">
        <is>
          <t>Supervisor</t>
        </is>
      </c>
      <c r="F18" s="2" t="inlineStr">
        <is>
          <t>Full-Time</t>
        </is>
      </c>
      <c r="G18" s="2" t="inlineStr">
        <is>
          <t>2018-07-02</t>
        </is>
      </c>
      <c r="H18" s="2" t="n">
        <v>32</v>
      </c>
      <c r="I18" s="2" t="inlineStr">
        <is>
          <t>Bachelor</t>
        </is>
      </c>
      <c r="J18" s="2" t="inlineStr">
        <is>
          <t>Medan</t>
        </is>
      </c>
      <c r="K18" s="3" t="n">
        <v>11595609</v>
      </c>
      <c r="L18" s="2" t="n">
        <v>4.5</v>
      </c>
      <c r="M18" s="2" t="n">
        <v>6</v>
      </c>
      <c r="N18" s="2" t="inlineStr">
        <is>
          <t>Active</t>
        </is>
      </c>
    </row>
    <row r="19">
      <c r="A19" s="4" t="inlineStr">
        <is>
          <t>EMP0018</t>
        </is>
      </c>
      <c r="B19" s="4" t="inlineStr">
        <is>
          <t>Wulan Susanto</t>
        </is>
      </c>
      <c r="C19" s="4" t="inlineStr">
        <is>
          <t>Female</t>
        </is>
      </c>
      <c r="D19" s="4" t="inlineStr">
        <is>
          <t>HR</t>
        </is>
      </c>
      <c r="E19" s="4" t="inlineStr">
        <is>
          <t>Junior</t>
        </is>
      </c>
      <c r="F19" s="4" t="inlineStr">
        <is>
          <t>Full-Time</t>
        </is>
      </c>
      <c r="G19" s="4" t="inlineStr">
        <is>
          <t>2015-10-24</t>
        </is>
      </c>
      <c r="H19" s="4" t="n">
        <v>56</v>
      </c>
      <c r="I19" s="4" t="inlineStr">
        <is>
          <t>Diploma</t>
        </is>
      </c>
      <c r="J19" s="4" t="inlineStr">
        <is>
          <t>Bandung</t>
        </is>
      </c>
      <c r="K19" s="5" t="n">
        <v>5485747</v>
      </c>
      <c r="L19" s="4" t="n">
        <v>4</v>
      </c>
      <c r="M19" s="4" t="n">
        <v>9</v>
      </c>
      <c r="N19" s="4" t="inlineStr">
        <is>
          <t>Active</t>
        </is>
      </c>
    </row>
    <row r="20">
      <c r="A20" s="2" t="inlineStr">
        <is>
          <t>EMP0019</t>
        </is>
      </c>
      <c r="B20" s="2" t="inlineStr">
        <is>
          <t>Budi Wijaya</t>
        </is>
      </c>
      <c r="C20" s="2" t="inlineStr">
        <is>
          <t>Male</t>
        </is>
      </c>
      <c r="D20" s="2" t="inlineStr">
        <is>
          <t>HR</t>
        </is>
      </c>
      <c r="E20" s="2" t="inlineStr">
        <is>
          <t>Staff</t>
        </is>
      </c>
      <c r="F20" s="2" t="inlineStr">
        <is>
          <t>Full-Time</t>
        </is>
      </c>
      <c r="G20" s="2" t="inlineStr">
        <is>
          <t>2018-07-04</t>
        </is>
      </c>
      <c r="H20" s="2" t="n">
        <v>58</v>
      </c>
      <c r="I20" s="2" t="inlineStr">
        <is>
          <t>Bachelor</t>
        </is>
      </c>
      <c r="J20" s="2" t="inlineStr">
        <is>
          <t>Bali</t>
        </is>
      </c>
      <c r="K20" s="3" t="n">
        <v>4094709</v>
      </c>
      <c r="L20" s="2" t="n">
        <v>2.7</v>
      </c>
      <c r="M20" s="2" t="n">
        <v>6</v>
      </c>
      <c r="N20" s="2" t="inlineStr">
        <is>
          <t>Active</t>
        </is>
      </c>
    </row>
    <row r="21">
      <c r="A21" s="4" t="inlineStr">
        <is>
          <t>EMP0020</t>
        </is>
      </c>
      <c r="B21" s="4" t="inlineStr">
        <is>
          <t>Putri Utama</t>
        </is>
      </c>
      <c r="C21" s="4" t="inlineStr">
        <is>
          <t>Female</t>
        </is>
      </c>
      <c r="D21" s="4" t="inlineStr">
        <is>
          <t>Sales</t>
        </is>
      </c>
      <c r="E21" s="4" t="inlineStr">
        <is>
          <t>Junior</t>
        </is>
      </c>
      <c r="F21" s="4" t="inlineStr">
        <is>
          <t>Full-Time</t>
        </is>
      </c>
      <c r="G21" s="4" t="inlineStr">
        <is>
          <t>2017-11-21</t>
        </is>
      </c>
      <c r="H21" s="4" t="n">
        <v>41</v>
      </c>
      <c r="I21" s="4" t="inlineStr">
        <is>
          <t>Bachelor</t>
        </is>
      </c>
      <c r="J21" s="4" t="inlineStr">
        <is>
          <t>Semarang</t>
        </is>
      </c>
      <c r="K21" s="5" t="n">
        <v>6803601</v>
      </c>
      <c r="L21" s="4" t="n">
        <v>2.5</v>
      </c>
      <c r="M21" s="4" t="n">
        <v>7</v>
      </c>
      <c r="N21" s="4" t="inlineStr">
        <is>
          <t>Active</t>
        </is>
      </c>
    </row>
    <row r="22">
      <c r="A22" s="2" t="inlineStr">
        <is>
          <t>EMP0021</t>
        </is>
      </c>
      <c r="B22" s="2" t="inlineStr">
        <is>
          <t>Andi Utama</t>
        </is>
      </c>
      <c r="C22" s="2" t="inlineStr">
        <is>
          <t>Male</t>
        </is>
      </c>
      <c r="D22" s="2" t="inlineStr">
        <is>
          <t>IT</t>
        </is>
      </c>
      <c r="E22" s="2" t="inlineStr">
        <is>
          <t>Junior</t>
        </is>
      </c>
      <c r="F22" s="2" t="inlineStr">
        <is>
          <t>Contract</t>
        </is>
      </c>
      <c r="G22" s="2" t="inlineStr">
        <is>
          <t>2016-04-12</t>
        </is>
      </c>
      <c r="H22" s="2" t="n">
        <v>40</v>
      </c>
      <c r="I22" s="2" t="inlineStr">
        <is>
          <t>Bachelor</t>
        </is>
      </c>
      <c r="J22" s="2" t="inlineStr">
        <is>
          <t>Semarang</t>
        </is>
      </c>
      <c r="K22" s="3" t="n">
        <v>6214826</v>
      </c>
      <c r="L22" s="2" t="n">
        <v>3.3</v>
      </c>
      <c r="M22" s="2" t="n">
        <v>8</v>
      </c>
      <c r="N22" s="2" t="inlineStr">
        <is>
          <t>Inactive</t>
        </is>
      </c>
    </row>
    <row r="23">
      <c r="A23" s="4" t="inlineStr">
        <is>
          <t>EMP0022</t>
        </is>
      </c>
      <c r="B23" s="4" t="inlineStr">
        <is>
          <t>Bagas Kusuma</t>
        </is>
      </c>
      <c r="C23" s="4" t="inlineStr">
        <is>
          <t>Male</t>
        </is>
      </c>
      <c r="D23" s="4" t="inlineStr">
        <is>
          <t>Finance</t>
        </is>
      </c>
      <c r="E23" s="4" t="inlineStr">
        <is>
          <t>Junior</t>
        </is>
      </c>
      <c r="F23" s="4" t="inlineStr">
        <is>
          <t>Full-Time</t>
        </is>
      </c>
      <c r="G23" s="4" t="inlineStr">
        <is>
          <t>2016-12-18</t>
        </is>
      </c>
      <c r="H23" s="4" t="n">
        <v>31</v>
      </c>
      <c r="I23" s="4" t="inlineStr">
        <is>
          <t>Bachelor</t>
        </is>
      </c>
      <c r="J23" s="4" t="inlineStr">
        <is>
          <t>Bali</t>
        </is>
      </c>
      <c r="K23" s="5" t="n">
        <v>5715944</v>
      </c>
      <c r="L23" s="4" t="n">
        <v>3.4</v>
      </c>
      <c r="M23" s="4" t="n">
        <v>8</v>
      </c>
      <c r="N23" s="4" t="inlineStr">
        <is>
          <t>Active</t>
        </is>
      </c>
    </row>
    <row r="24">
      <c r="A24" s="2" t="inlineStr">
        <is>
          <t>EMP0023</t>
        </is>
      </c>
      <c r="B24" s="2" t="inlineStr">
        <is>
          <t>Wulan Susanto</t>
        </is>
      </c>
      <c r="C24" s="2" t="inlineStr">
        <is>
          <t>Female</t>
        </is>
      </c>
      <c r="D24" s="2" t="inlineStr">
        <is>
          <t>IT</t>
        </is>
      </c>
      <c r="E24" s="2" t="inlineStr">
        <is>
          <t>Staff</t>
        </is>
      </c>
      <c r="F24" s="2" t="inlineStr">
        <is>
          <t>Full-Time</t>
        </is>
      </c>
      <c r="G24" s="2" t="inlineStr">
        <is>
          <t>2021-05-02</t>
        </is>
      </c>
      <c r="H24" s="2" t="n">
        <v>22</v>
      </c>
      <c r="I24" s="2" t="inlineStr">
        <is>
          <t>Bachelor</t>
        </is>
      </c>
      <c r="J24" s="2" t="inlineStr">
        <is>
          <t>Surabaya</t>
        </is>
      </c>
      <c r="K24" s="3" t="n">
        <v>4766752</v>
      </c>
      <c r="L24" s="2" t="n">
        <v>3.2</v>
      </c>
      <c r="M24" s="2" t="n">
        <v>3</v>
      </c>
      <c r="N24" s="2" t="inlineStr">
        <is>
          <t>Active</t>
        </is>
      </c>
    </row>
    <row r="25">
      <c r="A25" s="4" t="inlineStr">
        <is>
          <t>EMP0024</t>
        </is>
      </c>
      <c r="B25" s="4" t="inlineStr">
        <is>
          <t>Wulan Santoso</t>
        </is>
      </c>
      <c r="C25" s="4" t="inlineStr">
        <is>
          <t>Female</t>
        </is>
      </c>
      <c r="D25" s="4" t="inlineStr">
        <is>
          <t>Finance</t>
        </is>
      </c>
      <c r="E25" s="4" t="inlineStr">
        <is>
          <t>Staff</t>
        </is>
      </c>
      <c r="F25" s="4" t="inlineStr">
        <is>
          <t>Contract</t>
        </is>
      </c>
      <c r="G25" s="4" t="inlineStr">
        <is>
          <t>2017-09-02</t>
        </is>
      </c>
      <c r="H25" s="4" t="n">
        <v>45</v>
      </c>
      <c r="I25" s="4" t="inlineStr">
        <is>
          <t>Bachelor</t>
        </is>
      </c>
      <c r="J25" s="4" t="inlineStr">
        <is>
          <t>Surabaya</t>
        </is>
      </c>
      <c r="K25" s="5" t="n">
        <v>4533510</v>
      </c>
      <c r="L25" s="4" t="n">
        <v>2.6</v>
      </c>
      <c r="M25" s="4" t="n">
        <v>7</v>
      </c>
      <c r="N25" s="4" t="inlineStr">
        <is>
          <t>Active</t>
        </is>
      </c>
    </row>
    <row r="26">
      <c r="A26" s="2" t="inlineStr">
        <is>
          <t>EMP0025</t>
        </is>
      </c>
      <c r="B26" s="2" t="inlineStr">
        <is>
          <t>Hendra Utama</t>
        </is>
      </c>
      <c r="C26" s="2" t="inlineStr">
        <is>
          <t>Male</t>
        </is>
      </c>
      <c r="D26" s="2" t="inlineStr">
        <is>
          <t>Marketing</t>
        </is>
      </c>
      <c r="E26" s="2" t="inlineStr">
        <is>
          <t>Director</t>
        </is>
      </c>
      <c r="F26" s="2" t="inlineStr">
        <is>
          <t>Full-Time</t>
        </is>
      </c>
      <c r="G26" s="2" t="inlineStr">
        <is>
          <t>2023-07-20</t>
        </is>
      </c>
      <c r="H26" s="2" t="n">
        <v>31</v>
      </c>
      <c r="I26" s="2" t="inlineStr">
        <is>
          <t>PhD</t>
        </is>
      </c>
      <c r="J26" s="2" t="inlineStr">
        <is>
          <t>Surabaya</t>
        </is>
      </c>
      <c r="K26" s="3" t="n">
        <v>31252239</v>
      </c>
      <c r="L26" s="2" t="n">
        <v>4.9</v>
      </c>
      <c r="M26" s="2" t="n">
        <v>1</v>
      </c>
      <c r="N26" s="2" t="inlineStr">
        <is>
          <t>Active</t>
        </is>
      </c>
    </row>
    <row r="27">
      <c r="A27" s="4" t="inlineStr">
        <is>
          <t>EMP0026</t>
        </is>
      </c>
      <c r="B27" s="4" t="inlineStr">
        <is>
          <t>Sari Pratama</t>
        </is>
      </c>
      <c r="C27" s="4" t="inlineStr">
        <is>
          <t>Female</t>
        </is>
      </c>
      <c r="D27" s="4" t="inlineStr">
        <is>
          <t>Sales</t>
        </is>
      </c>
      <c r="E27" s="4" t="inlineStr">
        <is>
          <t>Supervisor</t>
        </is>
      </c>
      <c r="F27" s="4" t="inlineStr">
        <is>
          <t>Part-Time</t>
        </is>
      </c>
      <c r="G27" s="4" t="inlineStr">
        <is>
          <t>2018-05-06</t>
        </is>
      </c>
      <c r="H27" s="4" t="n">
        <v>28</v>
      </c>
      <c r="I27" s="4" t="inlineStr">
        <is>
          <t>Bachelor</t>
        </is>
      </c>
      <c r="J27" s="4" t="inlineStr">
        <is>
          <t>Jakarta</t>
        </is>
      </c>
      <c r="K27" s="5" t="n">
        <v>13375779</v>
      </c>
      <c r="L27" s="4" t="n">
        <v>3.1</v>
      </c>
      <c r="M27" s="4" t="n">
        <v>6</v>
      </c>
      <c r="N27" s="4" t="inlineStr">
        <is>
          <t>Active</t>
        </is>
      </c>
    </row>
    <row r="28">
      <c r="A28" s="2" t="inlineStr">
        <is>
          <t>EMP0027</t>
        </is>
      </c>
      <c r="B28" s="2" t="inlineStr">
        <is>
          <t>Ayu Kusuma</t>
        </is>
      </c>
      <c r="C28" s="2" t="inlineStr">
        <is>
          <t>Female</t>
        </is>
      </c>
      <c r="D28" s="2" t="inlineStr">
        <is>
          <t>Marketing</t>
        </is>
      </c>
      <c r="E28" s="2" t="inlineStr">
        <is>
          <t>Junior</t>
        </is>
      </c>
      <c r="F28" s="2" t="inlineStr">
        <is>
          <t>Full-Time</t>
        </is>
      </c>
      <c r="G28" s="2" t="inlineStr">
        <is>
          <t>2018-07-11</t>
        </is>
      </c>
      <c r="H28" s="2" t="n">
        <v>39</v>
      </c>
      <c r="I28" s="2" t="inlineStr">
        <is>
          <t>Master</t>
        </is>
      </c>
      <c r="J28" s="2" t="inlineStr">
        <is>
          <t>Semarang</t>
        </is>
      </c>
      <c r="K28" s="3" t="n">
        <v>5818687</v>
      </c>
      <c r="L28" s="2" t="n">
        <v>4.1</v>
      </c>
      <c r="M28" s="2" t="n">
        <v>6</v>
      </c>
      <c r="N28" s="2" t="inlineStr">
        <is>
          <t>Active</t>
        </is>
      </c>
    </row>
    <row r="29">
      <c r="A29" s="4" t="inlineStr">
        <is>
          <t>EMP0028</t>
        </is>
      </c>
      <c r="B29" s="4" t="inlineStr">
        <is>
          <t>Sari Wijaya</t>
        </is>
      </c>
      <c r="C29" s="4" t="inlineStr">
        <is>
          <t>Female</t>
        </is>
      </c>
      <c r="D29" s="4" t="inlineStr">
        <is>
          <t>IT</t>
        </is>
      </c>
      <c r="E29" s="4" t="inlineStr">
        <is>
          <t>Junior</t>
        </is>
      </c>
      <c r="F29" s="4" t="inlineStr">
        <is>
          <t>Full-Time</t>
        </is>
      </c>
      <c r="G29" s="4" t="inlineStr">
        <is>
          <t>2019-01-04</t>
        </is>
      </c>
      <c r="H29" s="4" t="n">
        <v>49</v>
      </c>
      <c r="I29" s="4" t="inlineStr">
        <is>
          <t>Bachelor</t>
        </is>
      </c>
      <c r="J29" s="4" t="inlineStr">
        <is>
          <t>Semarang</t>
        </is>
      </c>
      <c r="K29" s="5" t="n">
        <v>5870515</v>
      </c>
      <c r="L29" s="4" t="n">
        <v>4</v>
      </c>
      <c r="M29" s="4" t="n">
        <v>5</v>
      </c>
      <c r="N29" s="4" t="inlineStr">
        <is>
          <t>Active</t>
        </is>
      </c>
    </row>
    <row r="30">
      <c r="A30" s="2" t="inlineStr">
        <is>
          <t>EMP0029</t>
        </is>
      </c>
      <c r="B30" s="2" t="inlineStr">
        <is>
          <t>Dina Utama</t>
        </is>
      </c>
      <c r="C30" s="2" t="inlineStr">
        <is>
          <t>Female</t>
        </is>
      </c>
      <c r="D30" s="2" t="inlineStr">
        <is>
          <t>IT</t>
        </is>
      </c>
      <c r="E30" s="2" t="inlineStr">
        <is>
          <t>Staff</t>
        </is>
      </c>
      <c r="F30" s="2" t="inlineStr">
        <is>
          <t>Part-Time</t>
        </is>
      </c>
      <c r="G30" s="2" t="inlineStr">
        <is>
          <t>2015-09-26</t>
        </is>
      </c>
      <c r="H30" s="2" t="n">
        <v>56</v>
      </c>
      <c r="I30" s="2" t="inlineStr">
        <is>
          <t>Master</t>
        </is>
      </c>
      <c r="J30" s="2" t="inlineStr">
        <is>
          <t>Makassar</t>
        </is>
      </c>
      <c r="K30" s="3" t="n">
        <v>4879167</v>
      </c>
      <c r="L30" s="2" t="n">
        <v>3</v>
      </c>
      <c r="M30" s="2" t="n">
        <v>9</v>
      </c>
      <c r="N30" s="2" t="inlineStr">
        <is>
          <t>Active</t>
        </is>
      </c>
    </row>
    <row r="31">
      <c r="A31" s="4" t="inlineStr">
        <is>
          <t>EMP0030</t>
        </is>
      </c>
      <c r="B31" s="4" t="inlineStr">
        <is>
          <t>Dina Rahmat</t>
        </is>
      </c>
      <c r="C31" s="4" t="inlineStr">
        <is>
          <t>Female</t>
        </is>
      </c>
      <c r="D31" s="4" t="inlineStr">
        <is>
          <t>Finance</t>
        </is>
      </c>
      <c r="E31" s="4" t="inlineStr">
        <is>
          <t>Director</t>
        </is>
      </c>
      <c r="F31" s="4" t="inlineStr">
        <is>
          <t>Contract</t>
        </is>
      </c>
      <c r="G31" s="4" t="inlineStr">
        <is>
          <t>2023-05-22</t>
        </is>
      </c>
      <c r="H31" s="4" t="n">
        <v>48</v>
      </c>
      <c r="I31" s="4" t="inlineStr">
        <is>
          <t>Bachelor</t>
        </is>
      </c>
      <c r="J31" s="4" t="inlineStr">
        <is>
          <t>Makassar</t>
        </is>
      </c>
      <c r="K31" s="5" t="n">
        <v>27269586</v>
      </c>
      <c r="L31" s="4" t="n">
        <v>2.8</v>
      </c>
      <c r="M31" s="4" t="n">
        <v>1</v>
      </c>
      <c r="N31" s="4" t="inlineStr">
        <is>
          <t>Active</t>
        </is>
      </c>
    </row>
    <row r="32">
      <c r="A32" s="2" t="inlineStr">
        <is>
          <t>EMP0031</t>
        </is>
      </c>
      <c r="B32" s="2" t="inlineStr">
        <is>
          <t>Rina Kusuma</t>
        </is>
      </c>
      <c r="C32" s="2" t="inlineStr">
        <is>
          <t>Female</t>
        </is>
      </c>
      <c r="D32" s="2" t="inlineStr">
        <is>
          <t>Legal</t>
        </is>
      </c>
      <c r="E32" s="2" t="inlineStr">
        <is>
          <t>Manager</t>
        </is>
      </c>
      <c r="F32" s="2" t="inlineStr">
        <is>
          <t>Part-Time</t>
        </is>
      </c>
      <c r="G32" s="2" t="inlineStr">
        <is>
          <t>2019-05-07</t>
        </is>
      </c>
      <c r="H32" s="2" t="n">
        <v>49</v>
      </c>
      <c r="I32" s="2" t="inlineStr">
        <is>
          <t>Master</t>
        </is>
      </c>
      <c r="J32" s="2" t="inlineStr">
        <is>
          <t>Bali</t>
        </is>
      </c>
      <c r="K32" s="3" t="n">
        <v>19146175</v>
      </c>
      <c r="L32" s="2" t="n">
        <v>3.7</v>
      </c>
      <c r="M32" s="2" t="n">
        <v>5</v>
      </c>
      <c r="N32" s="2" t="inlineStr">
        <is>
          <t>Active</t>
        </is>
      </c>
    </row>
    <row r="33">
      <c r="A33" s="4" t="inlineStr">
        <is>
          <t>EMP0032</t>
        </is>
      </c>
      <c r="B33" s="4" t="inlineStr">
        <is>
          <t>Bagas Susanto</t>
        </is>
      </c>
      <c r="C33" s="4" t="inlineStr">
        <is>
          <t>Male</t>
        </is>
      </c>
      <c r="D33" s="4" t="inlineStr">
        <is>
          <t>HR</t>
        </is>
      </c>
      <c r="E33" s="4" t="inlineStr">
        <is>
          <t>Director</t>
        </is>
      </c>
      <c r="F33" s="4" t="inlineStr">
        <is>
          <t>Full-Time</t>
        </is>
      </c>
      <c r="G33" s="4" t="inlineStr">
        <is>
          <t>2023-11-21</t>
        </is>
      </c>
      <c r="H33" s="4" t="n">
        <v>43</v>
      </c>
      <c r="I33" s="4" t="inlineStr">
        <is>
          <t>Diploma</t>
        </is>
      </c>
      <c r="J33" s="4" t="inlineStr">
        <is>
          <t>Semarang</t>
        </is>
      </c>
      <c r="K33" s="5" t="n">
        <v>26844080</v>
      </c>
      <c r="L33" s="4" t="n">
        <v>3.3</v>
      </c>
      <c r="M33" s="4" t="n">
        <v>1</v>
      </c>
      <c r="N33" s="4" t="inlineStr">
        <is>
          <t>Active</t>
        </is>
      </c>
    </row>
    <row r="34">
      <c r="A34" s="2" t="inlineStr">
        <is>
          <t>EMP0033</t>
        </is>
      </c>
      <c r="B34" s="2" t="inlineStr">
        <is>
          <t>Budi Santoso</t>
        </is>
      </c>
      <c r="C34" s="2" t="inlineStr">
        <is>
          <t>Male</t>
        </is>
      </c>
      <c r="D34" s="2" t="inlineStr">
        <is>
          <t>Marketing</t>
        </is>
      </c>
      <c r="E34" s="2" t="inlineStr">
        <is>
          <t>Supervisor</t>
        </is>
      </c>
      <c r="F34" s="2" t="inlineStr">
        <is>
          <t>Full-Time</t>
        </is>
      </c>
      <c r="G34" s="2" t="inlineStr">
        <is>
          <t>2016-08-14</t>
        </is>
      </c>
      <c r="H34" s="2" t="n">
        <v>58</v>
      </c>
      <c r="I34" s="2" t="inlineStr">
        <is>
          <t>Bachelor</t>
        </is>
      </c>
      <c r="J34" s="2" t="inlineStr">
        <is>
          <t>Makassar</t>
        </is>
      </c>
      <c r="K34" s="3" t="n">
        <v>11951935</v>
      </c>
      <c r="L34" s="2" t="n">
        <v>3.5</v>
      </c>
      <c r="M34" s="2" t="n">
        <v>8</v>
      </c>
      <c r="N34" s="2" t="inlineStr">
        <is>
          <t>Active</t>
        </is>
      </c>
    </row>
    <row r="35">
      <c r="A35" s="4" t="inlineStr">
        <is>
          <t>EMP0034</t>
        </is>
      </c>
      <c r="B35" s="4" t="inlineStr">
        <is>
          <t>Andi Hidayat</t>
        </is>
      </c>
      <c r="C35" s="4" t="inlineStr">
        <is>
          <t>Male</t>
        </is>
      </c>
      <c r="D35" s="4" t="inlineStr">
        <is>
          <t>Marketing</t>
        </is>
      </c>
      <c r="E35" s="4" t="inlineStr">
        <is>
          <t>Junior</t>
        </is>
      </c>
      <c r="F35" s="4" t="inlineStr">
        <is>
          <t>Part-Time</t>
        </is>
      </c>
      <c r="G35" s="4" t="inlineStr">
        <is>
          <t>2023-08-02</t>
        </is>
      </c>
      <c r="H35" s="4" t="n">
        <v>57</v>
      </c>
      <c r="I35" s="4" t="inlineStr">
        <is>
          <t>Bachelor</t>
        </is>
      </c>
      <c r="J35" s="4" t="inlineStr">
        <is>
          <t>Semarang</t>
        </is>
      </c>
      <c r="K35" s="5" t="n">
        <v>5582037</v>
      </c>
      <c r="L35" s="4" t="n">
        <v>2.8</v>
      </c>
      <c r="M35" s="4" t="n">
        <v>1</v>
      </c>
      <c r="N35" s="4" t="inlineStr">
        <is>
          <t>Active</t>
        </is>
      </c>
    </row>
    <row r="36">
      <c r="A36" s="2" t="inlineStr">
        <is>
          <t>EMP0035</t>
        </is>
      </c>
      <c r="B36" s="2" t="inlineStr">
        <is>
          <t>Maya Hidayat</t>
        </is>
      </c>
      <c r="C36" s="2" t="inlineStr">
        <is>
          <t>Female</t>
        </is>
      </c>
      <c r="D36" s="2" t="inlineStr">
        <is>
          <t>R&amp;D</t>
        </is>
      </c>
      <c r="E36" s="2" t="inlineStr">
        <is>
          <t>Junior</t>
        </is>
      </c>
      <c r="F36" s="2" t="inlineStr">
        <is>
          <t>Part-Time</t>
        </is>
      </c>
      <c r="G36" s="2" t="inlineStr">
        <is>
          <t>2022-08-09</t>
        </is>
      </c>
      <c r="H36" s="2" t="n">
        <v>37</v>
      </c>
      <c r="I36" s="2" t="inlineStr">
        <is>
          <t>Master</t>
        </is>
      </c>
      <c r="J36" s="2" t="inlineStr">
        <is>
          <t>Bandung</t>
        </is>
      </c>
      <c r="K36" s="3" t="n">
        <v>6548720</v>
      </c>
      <c r="L36" s="2" t="n">
        <v>3.8</v>
      </c>
      <c r="M36" s="2" t="n">
        <v>2</v>
      </c>
      <c r="N36" s="2" t="inlineStr">
        <is>
          <t>Active</t>
        </is>
      </c>
    </row>
    <row r="37">
      <c r="A37" s="4" t="inlineStr">
        <is>
          <t>EMP0036</t>
        </is>
      </c>
      <c r="B37" s="4" t="inlineStr">
        <is>
          <t>Maya Wijaya</t>
        </is>
      </c>
      <c r="C37" s="4" t="inlineStr">
        <is>
          <t>Female</t>
        </is>
      </c>
      <c r="D37" s="4" t="inlineStr">
        <is>
          <t>IT</t>
        </is>
      </c>
      <c r="E37" s="4" t="inlineStr">
        <is>
          <t>Junior</t>
        </is>
      </c>
      <c r="F37" s="4" t="inlineStr">
        <is>
          <t>Full-Time</t>
        </is>
      </c>
      <c r="G37" s="4" t="inlineStr">
        <is>
          <t>2020-09-03</t>
        </is>
      </c>
      <c r="H37" s="4" t="n">
        <v>30</v>
      </c>
      <c r="I37" s="4" t="inlineStr">
        <is>
          <t>Bachelor</t>
        </is>
      </c>
      <c r="J37" s="4" t="inlineStr">
        <is>
          <t>Medan</t>
        </is>
      </c>
      <c r="K37" s="5" t="n">
        <v>6440924</v>
      </c>
      <c r="L37" s="4" t="n">
        <v>4.3</v>
      </c>
      <c r="M37" s="4" t="n">
        <v>4</v>
      </c>
      <c r="N37" s="4" t="inlineStr">
        <is>
          <t>Active</t>
        </is>
      </c>
    </row>
    <row r="38">
      <c r="A38" s="2" t="inlineStr">
        <is>
          <t>EMP0037</t>
        </is>
      </c>
      <c r="B38" s="2" t="inlineStr">
        <is>
          <t>Ayu Susanto</t>
        </is>
      </c>
      <c r="C38" s="2" t="inlineStr">
        <is>
          <t>Female</t>
        </is>
      </c>
      <c r="D38" s="2" t="inlineStr">
        <is>
          <t>Legal</t>
        </is>
      </c>
      <c r="E38" s="2" t="inlineStr">
        <is>
          <t>Staff</t>
        </is>
      </c>
      <c r="F38" s="2" t="inlineStr">
        <is>
          <t>Full-Time</t>
        </is>
      </c>
      <c r="G38" s="2" t="inlineStr">
        <is>
          <t>2021-07-25</t>
        </is>
      </c>
      <c r="H38" s="2" t="n">
        <v>23</v>
      </c>
      <c r="I38" s="2" t="inlineStr">
        <is>
          <t>Master</t>
        </is>
      </c>
      <c r="J38" s="2" t="inlineStr">
        <is>
          <t>Semarang</t>
        </is>
      </c>
      <c r="K38" s="3" t="n">
        <v>4697651</v>
      </c>
      <c r="L38" s="2" t="n">
        <v>3.7</v>
      </c>
      <c r="M38" s="2" t="n">
        <v>3</v>
      </c>
      <c r="N38" s="2" t="inlineStr">
        <is>
          <t>Inactive</t>
        </is>
      </c>
    </row>
    <row r="39">
      <c r="A39" s="4" t="inlineStr">
        <is>
          <t>EMP0038</t>
        </is>
      </c>
      <c r="B39" s="4" t="inlineStr">
        <is>
          <t>Nita Hidayat</t>
        </is>
      </c>
      <c r="C39" s="4" t="inlineStr">
        <is>
          <t>Female</t>
        </is>
      </c>
      <c r="D39" s="4" t="inlineStr">
        <is>
          <t>Marketing</t>
        </is>
      </c>
      <c r="E39" s="4" t="inlineStr">
        <is>
          <t>Supervisor</t>
        </is>
      </c>
      <c r="F39" s="4" t="inlineStr">
        <is>
          <t>Full-Time</t>
        </is>
      </c>
      <c r="G39" s="4" t="inlineStr">
        <is>
          <t>2021-08-01</t>
        </is>
      </c>
      <c r="H39" s="4" t="n">
        <v>46</v>
      </c>
      <c r="I39" s="4" t="inlineStr">
        <is>
          <t>Bachelor</t>
        </is>
      </c>
      <c r="J39" s="4" t="inlineStr">
        <is>
          <t>Makassar</t>
        </is>
      </c>
      <c r="K39" s="5" t="n">
        <v>13194426</v>
      </c>
      <c r="L39" s="4" t="n">
        <v>4.3</v>
      </c>
      <c r="M39" s="4" t="n">
        <v>3</v>
      </c>
      <c r="N39" s="4" t="inlineStr">
        <is>
          <t>Active</t>
        </is>
      </c>
    </row>
    <row r="40">
      <c r="A40" s="2" t="inlineStr">
        <is>
          <t>EMP0039</t>
        </is>
      </c>
      <c r="B40" s="2" t="inlineStr">
        <is>
          <t>Eko Santoso</t>
        </is>
      </c>
      <c r="C40" s="2" t="inlineStr">
        <is>
          <t>Male</t>
        </is>
      </c>
      <c r="D40" s="2" t="inlineStr">
        <is>
          <t>Legal</t>
        </is>
      </c>
      <c r="E40" s="2" t="inlineStr">
        <is>
          <t>Manager</t>
        </is>
      </c>
      <c r="F40" s="2" t="inlineStr">
        <is>
          <t>Full-Time</t>
        </is>
      </c>
      <c r="G40" s="2" t="inlineStr">
        <is>
          <t>2015-02-21</t>
        </is>
      </c>
      <c r="H40" s="2" t="n">
        <v>49</v>
      </c>
      <c r="I40" s="2" t="inlineStr">
        <is>
          <t>Diploma</t>
        </is>
      </c>
      <c r="J40" s="2" t="inlineStr">
        <is>
          <t>Medan</t>
        </is>
      </c>
      <c r="K40" s="3" t="n">
        <v>17017780</v>
      </c>
      <c r="L40" s="2" t="n">
        <v>3.2</v>
      </c>
      <c r="M40" s="2" t="n">
        <v>9</v>
      </c>
      <c r="N40" s="2" t="inlineStr">
        <is>
          <t>Active</t>
        </is>
      </c>
    </row>
    <row r="41">
      <c r="A41" s="4" t="inlineStr">
        <is>
          <t>EMP0040</t>
        </is>
      </c>
      <c r="B41" s="4" t="inlineStr">
        <is>
          <t>Ayu Rahmat</t>
        </is>
      </c>
      <c r="C41" s="4" t="inlineStr">
        <is>
          <t>Female</t>
        </is>
      </c>
      <c r="D41" s="4" t="inlineStr">
        <is>
          <t>Legal</t>
        </is>
      </c>
      <c r="E41" s="4" t="inlineStr">
        <is>
          <t>Senior</t>
        </is>
      </c>
      <c r="F41" s="4" t="inlineStr">
        <is>
          <t>Part-Time</t>
        </is>
      </c>
      <c r="G41" s="4" t="inlineStr">
        <is>
          <t>2021-05-27</t>
        </is>
      </c>
      <c r="H41" s="4" t="n">
        <v>27</v>
      </c>
      <c r="I41" s="4" t="inlineStr">
        <is>
          <t>Bachelor</t>
        </is>
      </c>
      <c r="J41" s="4" t="inlineStr">
        <is>
          <t>Makassar</t>
        </is>
      </c>
      <c r="K41" s="5" t="n">
        <v>9313692</v>
      </c>
      <c r="L41" s="4" t="n">
        <v>5</v>
      </c>
      <c r="M41" s="4" t="n">
        <v>3</v>
      </c>
      <c r="N41" s="4" t="inlineStr">
        <is>
          <t>Active</t>
        </is>
      </c>
    </row>
    <row r="42">
      <c r="A42" s="2" t="inlineStr">
        <is>
          <t>EMP0041</t>
        </is>
      </c>
      <c r="B42" s="2" t="inlineStr">
        <is>
          <t>Budi Santoso</t>
        </is>
      </c>
      <c r="C42" s="2" t="inlineStr">
        <is>
          <t>Male</t>
        </is>
      </c>
      <c r="D42" s="2" t="inlineStr">
        <is>
          <t>Marketing</t>
        </is>
      </c>
      <c r="E42" s="2" t="inlineStr">
        <is>
          <t>Junior</t>
        </is>
      </c>
      <c r="F42" s="2" t="inlineStr">
        <is>
          <t>Part-Time</t>
        </is>
      </c>
      <c r="G42" s="2" t="inlineStr">
        <is>
          <t>2017-04-05</t>
        </is>
      </c>
      <c r="H42" s="2" t="n">
        <v>52</v>
      </c>
      <c r="I42" s="2" t="inlineStr">
        <is>
          <t>Master</t>
        </is>
      </c>
      <c r="J42" s="2" t="inlineStr">
        <is>
          <t>Bali</t>
        </is>
      </c>
      <c r="K42" s="3" t="n">
        <v>6821635</v>
      </c>
      <c r="L42" s="2" t="n">
        <v>3.7</v>
      </c>
      <c r="M42" s="2" t="n">
        <v>7</v>
      </c>
      <c r="N42" s="2" t="inlineStr">
        <is>
          <t>Active</t>
        </is>
      </c>
    </row>
    <row r="43">
      <c r="A43" s="4" t="inlineStr">
        <is>
          <t>EMP0042</t>
        </is>
      </c>
      <c r="B43" s="4" t="inlineStr">
        <is>
          <t>Rina Wijaya</t>
        </is>
      </c>
      <c r="C43" s="4" t="inlineStr">
        <is>
          <t>Female</t>
        </is>
      </c>
      <c r="D43" s="4" t="inlineStr">
        <is>
          <t>HR</t>
        </is>
      </c>
      <c r="E43" s="4" t="inlineStr">
        <is>
          <t>Senior</t>
        </is>
      </c>
      <c r="F43" s="4" t="inlineStr">
        <is>
          <t>Full-Time</t>
        </is>
      </c>
      <c r="G43" s="4" t="inlineStr">
        <is>
          <t>2015-05-19</t>
        </is>
      </c>
      <c r="H43" s="4" t="n">
        <v>46</v>
      </c>
      <c r="I43" s="4" t="inlineStr">
        <is>
          <t>Bachelor</t>
        </is>
      </c>
      <c r="J43" s="4" t="inlineStr">
        <is>
          <t>Makassar</t>
        </is>
      </c>
      <c r="K43" s="5" t="n">
        <v>8546241</v>
      </c>
      <c r="L43" s="4" t="n">
        <v>4</v>
      </c>
      <c r="M43" s="4" t="n">
        <v>9</v>
      </c>
      <c r="N43" s="4" t="inlineStr">
        <is>
          <t>Active</t>
        </is>
      </c>
    </row>
    <row r="44">
      <c r="A44" s="2" t="inlineStr">
        <is>
          <t>EMP0043</t>
        </is>
      </c>
      <c r="B44" s="2" t="inlineStr">
        <is>
          <t>Andi Kusuma</t>
        </is>
      </c>
      <c r="C44" s="2" t="inlineStr">
        <is>
          <t>Male</t>
        </is>
      </c>
      <c r="D44" s="2" t="inlineStr">
        <is>
          <t>Finance</t>
        </is>
      </c>
      <c r="E44" s="2" t="inlineStr">
        <is>
          <t>Manager</t>
        </is>
      </c>
      <c r="F44" s="2" t="inlineStr">
        <is>
          <t>Part-Time</t>
        </is>
      </c>
      <c r="G44" s="2" t="inlineStr">
        <is>
          <t>2020-09-14</t>
        </is>
      </c>
      <c r="H44" s="2" t="n">
        <v>45</v>
      </c>
      <c r="I44" s="2" t="inlineStr">
        <is>
          <t>Diploma</t>
        </is>
      </c>
      <c r="J44" s="2" t="inlineStr">
        <is>
          <t>Makassar</t>
        </is>
      </c>
      <c r="K44" s="3" t="n">
        <v>17735540</v>
      </c>
      <c r="L44" s="2" t="n">
        <v>4.6</v>
      </c>
      <c r="M44" s="2" t="n">
        <v>4</v>
      </c>
      <c r="N44" s="2" t="inlineStr">
        <is>
          <t>Active</t>
        </is>
      </c>
    </row>
    <row r="45">
      <c r="A45" s="4" t="inlineStr">
        <is>
          <t>EMP0044</t>
        </is>
      </c>
      <c r="B45" s="4" t="inlineStr">
        <is>
          <t>Wahyu Rahmat</t>
        </is>
      </c>
      <c r="C45" s="4" t="inlineStr">
        <is>
          <t>Male</t>
        </is>
      </c>
      <c r="D45" s="4" t="inlineStr">
        <is>
          <t>R&amp;D</t>
        </is>
      </c>
      <c r="E45" s="4" t="inlineStr">
        <is>
          <t>Director</t>
        </is>
      </c>
      <c r="F45" s="4" t="inlineStr">
        <is>
          <t>Full-Time</t>
        </is>
      </c>
      <c r="G45" s="4" t="inlineStr">
        <is>
          <t>2017-12-17</t>
        </is>
      </c>
      <c r="H45" s="4" t="n">
        <v>39</v>
      </c>
      <c r="I45" s="4" t="inlineStr">
        <is>
          <t>Bachelor</t>
        </is>
      </c>
      <c r="J45" s="4" t="inlineStr">
        <is>
          <t>Bali</t>
        </is>
      </c>
      <c r="K45" s="5" t="n">
        <v>30622490</v>
      </c>
      <c r="L45" s="4" t="n">
        <v>3.7</v>
      </c>
      <c r="M45" s="4" t="n">
        <v>7</v>
      </c>
      <c r="N45" s="4" t="inlineStr">
        <is>
          <t>Active</t>
        </is>
      </c>
    </row>
    <row r="46">
      <c r="A46" s="2" t="inlineStr">
        <is>
          <t>EMP0045</t>
        </is>
      </c>
      <c r="B46" s="2" t="inlineStr">
        <is>
          <t>Ayu Utama</t>
        </is>
      </c>
      <c r="C46" s="2" t="inlineStr">
        <is>
          <t>Female</t>
        </is>
      </c>
      <c r="D46" s="2" t="inlineStr">
        <is>
          <t>Finance</t>
        </is>
      </c>
      <c r="E46" s="2" t="inlineStr">
        <is>
          <t>Senior</t>
        </is>
      </c>
      <c r="F46" s="2" t="inlineStr">
        <is>
          <t>Contract</t>
        </is>
      </c>
      <c r="G46" s="2" t="inlineStr">
        <is>
          <t>2018-08-19</t>
        </is>
      </c>
      <c r="H46" s="2" t="n">
        <v>46</v>
      </c>
      <c r="I46" s="2" t="inlineStr">
        <is>
          <t>Bachelor</t>
        </is>
      </c>
      <c r="J46" s="2" t="inlineStr">
        <is>
          <t>Medan</t>
        </is>
      </c>
      <c r="K46" s="3" t="n">
        <v>10014643</v>
      </c>
      <c r="L46" s="2" t="n">
        <v>3</v>
      </c>
      <c r="M46" s="2" t="n">
        <v>6</v>
      </c>
      <c r="N46" s="2" t="inlineStr">
        <is>
          <t>Active</t>
        </is>
      </c>
    </row>
    <row r="47">
      <c r="A47" s="4" t="inlineStr">
        <is>
          <t>EMP0046</t>
        </is>
      </c>
      <c r="B47" s="4" t="inlineStr">
        <is>
          <t>Ayu Kusuma</t>
        </is>
      </c>
      <c r="C47" s="4" t="inlineStr">
        <is>
          <t>Female</t>
        </is>
      </c>
      <c r="D47" s="4" t="inlineStr">
        <is>
          <t>IT</t>
        </is>
      </c>
      <c r="E47" s="4" t="inlineStr">
        <is>
          <t>Manager</t>
        </is>
      </c>
      <c r="F47" s="4" t="inlineStr">
        <is>
          <t>Full-Time</t>
        </is>
      </c>
      <c r="G47" s="4" t="inlineStr">
        <is>
          <t>2018-02-08</t>
        </is>
      </c>
      <c r="H47" s="4" t="n">
        <v>48</v>
      </c>
      <c r="I47" s="4" t="inlineStr">
        <is>
          <t>Bachelor</t>
        </is>
      </c>
      <c r="J47" s="4" t="inlineStr">
        <is>
          <t>Semarang</t>
        </is>
      </c>
      <c r="K47" s="5" t="n">
        <v>17281457</v>
      </c>
      <c r="L47" s="4" t="n">
        <v>3.7</v>
      </c>
      <c r="M47" s="4" t="n">
        <v>6</v>
      </c>
      <c r="N47" s="4" t="inlineStr">
        <is>
          <t>Active</t>
        </is>
      </c>
    </row>
    <row r="48">
      <c r="A48" s="2" t="inlineStr">
        <is>
          <t>EMP0047</t>
        </is>
      </c>
      <c r="B48" s="2" t="inlineStr">
        <is>
          <t>Sari Wijaya</t>
        </is>
      </c>
      <c r="C48" s="2" t="inlineStr">
        <is>
          <t>Female</t>
        </is>
      </c>
      <c r="D48" s="2" t="inlineStr">
        <is>
          <t>IT</t>
        </is>
      </c>
      <c r="E48" s="2" t="inlineStr">
        <is>
          <t>Junior</t>
        </is>
      </c>
      <c r="F48" s="2" t="inlineStr">
        <is>
          <t>Full-Time</t>
        </is>
      </c>
      <c r="G48" s="2" t="inlineStr">
        <is>
          <t>2018-05-22</t>
        </is>
      </c>
      <c r="H48" s="2" t="n">
        <v>45</v>
      </c>
      <c r="I48" s="2" t="inlineStr">
        <is>
          <t>Bachelor</t>
        </is>
      </c>
      <c r="J48" s="2" t="inlineStr">
        <is>
          <t>Bali</t>
        </is>
      </c>
      <c r="K48" s="3" t="n">
        <v>5915636</v>
      </c>
      <c r="L48" s="2" t="n">
        <v>5</v>
      </c>
      <c r="M48" s="2" t="n">
        <v>6</v>
      </c>
      <c r="N48" s="2" t="inlineStr">
        <is>
          <t>Active</t>
        </is>
      </c>
    </row>
    <row r="49">
      <c r="A49" s="4" t="inlineStr">
        <is>
          <t>EMP0048</t>
        </is>
      </c>
      <c r="B49" s="4" t="inlineStr">
        <is>
          <t>Maya Kusuma</t>
        </is>
      </c>
      <c r="C49" s="4" t="inlineStr">
        <is>
          <t>Female</t>
        </is>
      </c>
      <c r="D49" s="4" t="inlineStr">
        <is>
          <t>IT</t>
        </is>
      </c>
      <c r="E49" s="4" t="inlineStr">
        <is>
          <t>Senior</t>
        </is>
      </c>
      <c r="F49" s="4" t="inlineStr">
        <is>
          <t>Full-Time</t>
        </is>
      </c>
      <c r="G49" s="4" t="inlineStr">
        <is>
          <t>2018-06-04</t>
        </is>
      </c>
      <c r="H49" s="4" t="n">
        <v>56</v>
      </c>
      <c r="I49" s="4" t="inlineStr">
        <is>
          <t>PhD</t>
        </is>
      </c>
      <c r="J49" s="4" t="inlineStr">
        <is>
          <t>Makassar</t>
        </is>
      </c>
      <c r="K49" s="5" t="n">
        <v>8516587</v>
      </c>
      <c r="L49" s="4" t="n">
        <v>3</v>
      </c>
      <c r="M49" s="4" t="n">
        <v>6</v>
      </c>
      <c r="N49" s="4" t="inlineStr">
        <is>
          <t>Active</t>
        </is>
      </c>
    </row>
    <row r="50">
      <c r="A50" s="2" t="inlineStr">
        <is>
          <t>EMP0049</t>
        </is>
      </c>
      <c r="B50" s="2" t="inlineStr">
        <is>
          <t>Dewi Utama</t>
        </is>
      </c>
      <c r="C50" s="2" t="inlineStr">
        <is>
          <t>Female</t>
        </is>
      </c>
      <c r="D50" s="2" t="inlineStr">
        <is>
          <t>IT</t>
        </is>
      </c>
      <c r="E50" s="2" t="inlineStr">
        <is>
          <t>Junior</t>
        </is>
      </c>
      <c r="F50" s="2" t="inlineStr">
        <is>
          <t>Full-Time</t>
        </is>
      </c>
      <c r="G50" s="2" t="inlineStr">
        <is>
          <t>2019-01-23</t>
        </is>
      </c>
      <c r="H50" s="2" t="n">
        <v>56</v>
      </c>
      <c r="I50" s="2" t="inlineStr">
        <is>
          <t>Diploma</t>
        </is>
      </c>
      <c r="J50" s="2" t="inlineStr">
        <is>
          <t>Jakarta</t>
        </is>
      </c>
      <c r="K50" s="3" t="n">
        <v>6861442</v>
      </c>
      <c r="L50" s="2" t="n">
        <v>3.9</v>
      </c>
      <c r="M50" s="2" t="n">
        <v>5</v>
      </c>
      <c r="N50" s="2" t="inlineStr">
        <is>
          <t>Active</t>
        </is>
      </c>
    </row>
    <row r="51">
      <c r="A51" s="4" t="inlineStr">
        <is>
          <t>EMP0050</t>
        </is>
      </c>
      <c r="B51" s="4" t="inlineStr">
        <is>
          <t>Arif Wijaya</t>
        </is>
      </c>
      <c r="C51" s="4" t="inlineStr">
        <is>
          <t>Male</t>
        </is>
      </c>
      <c r="D51" s="4" t="inlineStr">
        <is>
          <t>Operations</t>
        </is>
      </c>
      <c r="E51" s="4" t="inlineStr">
        <is>
          <t>Manager</t>
        </is>
      </c>
      <c r="F51" s="4" t="inlineStr">
        <is>
          <t>Full-Time</t>
        </is>
      </c>
      <c r="G51" s="4" t="inlineStr">
        <is>
          <t>2022-08-11</t>
        </is>
      </c>
      <c r="H51" s="4" t="n">
        <v>33</v>
      </c>
      <c r="I51" s="4" t="inlineStr">
        <is>
          <t>PhD</t>
        </is>
      </c>
      <c r="J51" s="4" t="inlineStr">
        <is>
          <t>Bandung</t>
        </is>
      </c>
      <c r="K51" s="5" t="n">
        <v>20434786</v>
      </c>
      <c r="L51" s="4" t="n">
        <v>3.7</v>
      </c>
      <c r="M51" s="4" t="n">
        <v>2</v>
      </c>
      <c r="N51" s="4" t="inlineStr">
        <is>
          <t>Active</t>
        </is>
      </c>
    </row>
    <row r="52">
      <c r="A52" s="2" t="inlineStr">
        <is>
          <t>EMP0051</t>
        </is>
      </c>
      <c r="B52" s="2" t="inlineStr">
        <is>
          <t>Maya Wijaya</t>
        </is>
      </c>
      <c r="C52" s="2" t="inlineStr">
        <is>
          <t>Female</t>
        </is>
      </c>
      <c r="D52" s="2" t="inlineStr">
        <is>
          <t>Operations</t>
        </is>
      </c>
      <c r="E52" s="2" t="inlineStr">
        <is>
          <t>Junior</t>
        </is>
      </c>
      <c r="F52" s="2" t="inlineStr">
        <is>
          <t>Full-Time</t>
        </is>
      </c>
      <c r="G52" s="2" t="inlineStr">
        <is>
          <t>2019-02-08</t>
        </is>
      </c>
      <c r="H52" s="2" t="n">
        <v>29</v>
      </c>
      <c r="I52" s="2" t="inlineStr">
        <is>
          <t>Bachelor</t>
        </is>
      </c>
      <c r="J52" s="2" t="inlineStr">
        <is>
          <t>Medan</t>
        </is>
      </c>
      <c r="K52" s="3" t="n">
        <v>6309476</v>
      </c>
      <c r="L52" s="2" t="n">
        <v>4.5</v>
      </c>
      <c r="M52" s="2" t="n">
        <v>5</v>
      </c>
      <c r="N52" s="2" t="inlineStr">
        <is>
          <t>Active</t>
        </is>
      </c>
    </row>
    <row r="53">
      <c r="A53" s="4" t="inlineStr">
        <is>
          <t>EMP0052</t>
        </is>
      </c>
      <c r="B53" s="4" t="inlineStr">
        <is>
          <t>Maya Susanto</t>
        </is>
      </c>
      <c r="C53" s="4" t="inlineStr">
        <is>
          <t>Female</t>
        </is>
      </c>
      <c r="D53" s="4" t="inlineStr">
        <is>
          <t>IT</t>
        </is>
      </c>
      <c r="E53" s="4" t="inlineStr">
        <is>
          <t>Manager</t>
        </is>
      </c>
      <c r="F53" s="4" t="inlineStr">
        <is>
          <t>Contract</t>
        </is>
      </c>
      <c r="G53" s="4" t="inlineStr">
        <is>
          <t>2019-10-20</t>
        </is>
      </c>
      <c r="H53" s="4" t="n">
        <v>25</v>
      </c>
      <c r="I53" s="4" t="inlineStr">
        <is>
          <t>Bachelor</t>
        </is>
      </c>
      <c r="J53" s="4" t="inlineStr">
        <is>
          <t>Makassar</t>
        </is>
      </c>
      <c r="K53" s="5" t="n">
        <v>16646551</v>
      </c>
      <c r="L53" s="4" t="n">
        <v>4.4</v>
      </c>
      <c r="M53" s="4" t="n">
        <v>5</v>
      </c>
      <c r="N53" s="4" t="inlineStr">
        <is>
          <t>Active</t>
        </is>
      </c>
    </row>
    <row r="54">
      <c r="A54" s="2" t="inlineStr">
        <is>
          <t>EMP0053</t>
        </is>
      </c>
      <c r="B54" s="2" t="inlineStr">
        <is>
          <t>Dewi Pratama</t>
        </is>
      </c>
      <c r="C54" s="2" t="inlineStr">
        <is>
          <t>Female</t>
        </is>
      </c>
      <c r="D54" s="2" t="inlineStr">
        <is>
          <t>Marketing</t>
        </is>
      </c>
      <c r="E54" s="2" t="inlineStr">
        <is>
          <t>Junior</t>
        </is>
      </c>
      <c r="F54" s="2" t="inlineStr">
        <is>
          <t>Full-Time</t>
        </is>
      </c>
      <c r="G54" s="2" t="inlineStr">
        <is>
          <t>2017-01-14</t>
        </is>
      </c>
      <c r="H54" s="2" t="n">
        <v>50</v>
      </c>
      <c r="I54" s="2" t="inlineStr">
        <is>
          <t>Master</t>
        </is>
      </c>
      <c r="J54" s="2" t="inlineStr">
        <is>
          <t>Medan</t>
        </is>
      </c>
      <c r="K54" s="3" t="n">
        <v>5836888</v>
      </c>
      <c r="L54" s="2" t="n">
        <v>3.1</v>
      </c>
      <c r="M54" s="2" t="n">
        <v>7</v>
      </c>
      <c r="N54" s="2" t="inlineStr">
        <is>
          <t>Active</t>
        </is>
      </c>
    </row>
    <row r="55">
      <c r="A55" s="4" t="inlineStr">
        <is>
          <t>EMP0054</t>
        </is>
      </c>
      <c r="B55" s="4" t="inlineStr">
        <is>
          <t>Dewi Utama</t>
        </is>
      </c>
      <c r="C55" s="4" t="inlineStr">
        <is>
          <t>Female</t>
        </is>
      </c>
      <c r="D55" s="4" t="inlineStr">
        <is>
          <t>IT</t>
        </is>
      </c>
      <c r="E55" s="4" t="inlineStr">
        <is>
          <t>Director</t>
        </is>
      </c>
      <c r="F55" s="4" t="inlineStr">
        <is>
          <t>Full-Time</t>
        </is>
      </c>
      <c r="G55" s="4" t="inlineStr">
        <is>
          <t>2018-07-04</t>
        </is>
      </c>
      <c r="H55" s="4" t="n">
        <v>56</v>
      </c>
      <c r="I55" s="4" t="inlineStr">
        <is>
          <t>Bachelor</t>
        </is>
      </c>
      <c r="J55" s="4" t="inlineStr">
        <is>
          <t>Surabaya</t>
        </is>
      </c>
      <c r="K55" s="5" t="n">
        <v>31558880</v>
      </c>
      <c r="L55" s="4" t="n">
        <v>4.6</v>
      </c>
      <c r="M55" s="4" t="n">
        <v>6</v>
      </c>
      <c r="N55" s="4" t="inlineStr">
        <is>
          <t>Active</t>
        </is>
      </c>
    </row>
    <row r="56">
      <c r="A56" s="2" t="inlineStr">
        <is>
          <t>EMP0055</t>
        </is>
      </c>
      <c r="B56" s="2" t="inlineStr">
        <is>
          <t>Dimas Kusuma</t>
        </is>
      </c>
      <c r="C56" s="2" t="inlineStr">
        <is>
          <t>Male</t>
        </is>
      </c>
      <c r="D56" s="2" t="inlineStr">
        <is>
          <t>R&amp;D</t>
        </is>
      </c>
      <c r="E56" s="2" t="inlineStr">
        <is>
          <t>Staff</t>
        </is>
      </c>
      <c r="F56" s="2" t="inlineStr">
        <is>
          <t>Full-Time</t>
        </is>
      </c>
      <c r="G56" s="2" t="inlineStr">
        <is>
          <t>2019-12-13</t>
        </is>
      </c>
      <c r="H56" s="2" t="n">
        <v>39</v>
      </c>
      <c r="I56" s="2" t="inlineStr">
        <is>
          <t>Bachelor</t>
        </is>
      </c>
      <c r="J56" s="2" t="inlineStr">
        <is>
          <t>Medan</t>
        </is>
      </c>
      <c r="K56" s="3" t="n">
        <v>4542478</v>
      </c>
      <c r="L56" s="2" t="n">
        <v>4</v>
      </c>
      <c r="M56" s="2" t="n">
        <v>5</v>
      </c>
      <c r="N56" s="2" t="inlineStr">
        <is>
          <t>Inactive</t>
        </is>
      </c>
    </row>
    <row r="57">
      <c r="A57" s="4" t="inlineStr">
        <is>
          <t>EMP0056</t>
        </is>
      </c>
      <c r="B57" s="4" t="inlineStr">
        <is>
          <t>Dina Kusuma</t>
        </is>
      </c>
      <c r="C57" s="4" t="inlineStr">
        <is>
          <t>Female</t>
        </is>
      </c>
      <c r="D57" s="4" t="inlineStr">
        <is>
          <t>Operations</t>
        </is>
      </c>
      <c r="E57" s="4" t="inlineStr">
        <is>
          <t>Staff</t>
        </is>
      </c>
      <c r="F57" s="4" t="inlineStr">
        <is>
          <t>Full-Time</t>
        </is>
      </c>
      <c r="G57" s="4" t="inlineStr">
        <is>
          <t>2015-11-27</t>
        </is>
      </c>
      <c r="H57" s="4" t="n">
        <v>39</v>
      </c>
      <c r="I57" s="4" t="inlineStr">
        <is>
          <t>Bachelor</t>
        </is>
      </c>
      <c r="J57" s="4" t="inlineStr">
        <is>
          <t>Semarang</t>
        </is>
      </c>
      <c r="K57" s="5" t="n">
        <v>4900802</v>
      </c>
      <c r="L57" s="4" t="n">
        <v>3.7</v>
      </c>
      <c r="M57" s="4" t="n">
        <v>9</v>
      </c>
      <c r="N57" s="4" t="inlineStr">
        <is>
          <t>Active</t>
        </is>
      </c>
    </row>
    <row r="58">
      <c r="A58" s="2" t="inlineStr">
        <is>
          <t>EMP0057</t>
        </is>
      </c>
      <c r="B58" s="2" t="inlineStr">
        <is>
          <t>Rina Hidayat</t>
        </is>
      </c>
      <c r="C58" s="2" t="inlineStr">
        <is>
          <t>Female</t>
        </is>
      </c>
      <c r="D58" s="2" t="inlineStr">
        <is>
          <t>R&amp;D</t>
        </is>
      </c>
      <c r="E58" s="2" t="inlineStr">
        <is>
          <t>Staff</t>
        </is>
      </c>
      <c r="F58" s="2" t="inlineStr">
        <is>
          <t>Full-Time</t>
        </is>
      </c>
      <c r="G58" s="2" t="inlineStr">
        <is>
          <t>2021-06-11</t>
        </is>
      </c>
      <c r="H58" s="2" t="n">
        <v>28</v>
      </c>
      <c r="I58" s="2" t="inlineStr">
        <is>
          <t>Master</t>
        </is>
      </c>
      <c r="J58" s="2" t="inlineStr">
        <is>
          <t>Bandung</t>
        </is>
      </c>
      <c r="K58" s="3" t="n">
        <v>4513100</v>
      </c>
      <c r="L58" s="2" t="n">
        <v>3.7</v>
      </c>
      <c r="M58" s="2" t="n">
        <v>3</v>
      </c>
      <c r="N58" s="2" t="inlineStr">
        <is>
          <t>Active</t>
        </is>
      </c>
    </row>
    <row r="59">
      <c r="A59" s="4" t="inlineStr">
        <is>
          <t>EMP0058</t>
        </is>
      </c>
      <c r="B59" s="4" t="inlineStr">
        <is>
          <t>Wulan Santoso</t>
        </is>
      </c>
      <c r="C59" s="4" t="inlineStr">
        <is>
          <t>Female</t>
        </is>
      </c>
      <c r="D59" s="4" t="inlineStr">
        <is>
          <t>R&amp;D</t>
        </is>
      </c>
      <c r="E59" s="4" t="inlineStr">
        <is>
          <t>Staff</t>
        </is>
      </c>
      <c r="F59" s="4" t="inlineStr">
        <is>
          <t>Full-Time</t>
        </is>
      </c>
      <c r="G59" s="4" t="inlineStr">
        <is>
          <t>2020-02-25</t>
        </is>
      </c>
      <c r="H59" s="4" t="n">
        <v>47</v>
      </c>
      <c r="I59" s="4" t="inlineStr">
        <is>
          <t>Master</t>
        </is>
      </c>
      <c r="J59" s="4" t="inlineStr">
        <is>
          <t>Semarang</t>
        </is>
      </c>
      <c r="K59" s="5" t="n">
        <v>5161634</v>
      </c>
      <c r="L59" s="4" t="n">
        <v>4.1</v>
      </c>
      <c r="M59" s="4" t="n">
        <v>4</v>
      </c>
      <c r="N59" s="4" t="inlineStr">
        <is>
          <t>Active</t>
        </is>
      </c>
    </row>
    <row r="60">
      <c r="A60" s="2" t="inlineStr">
        <is>
          <t>EMP0059</t>
        </is>
      </c>
      <c r="B60" s="2" t="inlineStr">
        <is>
          <t>Sari Utama</t>
        </is>
      </c>
      <c r="C60" s="2" t="inlineStr">
        <is>
          <t>Female</t>
        </is>
      </c>
      <c r="D60" s="2" t="inlineStr">
        <is>
          <t>Sales</t>
        </is>
      </c>
      <c r="E60" s="2" t="inlineStr">
        <is>
          <t>Manager</t>
        </is>
      </c>
      <c r="F60" s="2" t="inlineStr">
        <is>
          <t>Part-Time</t>
        </is>
      </c>
      <c r="G60" s="2" t="inlineStr">
        <is>
          <t>2022-01-07</t>
        </is>
      </c>
      <c r="H60" s="2" t="n">
        <v>39</v>
      </c>
      <c r="I60" s="2" t="inlineStr">
        <is>
          <t>Bachelor</t>
        </is>
      </c>
      <c r="J60" s="2" t="inlineStr">
        <is>
          <t>Bandung</t>
        </is>
      </c>
      <c r="K60" s="3" t="n">
        <v>18171522</v>
      </c>
      <c r="L60" s="2" t="n">
        <v>4.2</v>
      </c>
      <c r="M60" s="2" t="n">
        <v>2</v>
      </c>
      <c r="N60" s="2" t="inlineStr">
        <is>
          <t>Active</t>
        </is>
      </c>
    </row>
    <row r="61">
      <c r="A61" s="4" t="inlineStr">
        <is>
          <t>EMP0060</t>
        </is>
      </c>
      <c r="B61" s="4" t="inlineStr">
        <is>
          <t>Rizki Kusuma</t>
        </is>
      </c>
      <c r="C61" s="4" t="inlineStr">
        <is>
          <t>Male</t>
        </is>
      </c>
      <c r="D61" s="4" t="inlineStr">
        <is>
          <t>Operations</t>
        </is>
      </c>
      <c r="E61" s="4" t="inlineStr">
        <is>
          <t>Manager</t>
        </is>
      </c>
      <c r="F61" s="4" t="inlineStr">
        <is>
          <t>Full-Time</t>
        </is>
      </c>
      <c r="G61" s="4" t="inlineStr">
        <is>
          <t>2018-02-15</t>
        </is>
      </c>
      <c r="H61" s="4" t="n">
        <v>29</v>
      </c>
      <c r="I61" s="4" t="inlineStr">
        <is>
          <t>Bachelor</t>
        </is>
      </c>
      <c r="J61" s="4" t="inlineStr">
        <is>
          <t>Surabaya</t>
        </is>
      </c>
      <c r="K61" s="5" t="n">
        <v>18442689</v>
      </c>
      <c r="L61" s="4" t="n">
        <v>4.3</v>
      </c>
      <c r="M61" s="4" t="n">
        <v>6</v>
      </c>
      <c r="N61" s="4" t="inlineStr">
        <is>
          <t>Active</t>
        </is>
      </c>
    </row>
    <row r="62">
      <c r="A62" s="2" t="inlineStr">
        <is>
          <t>EMP0061</t>
        </is>
      </c>
      <c r="B62" s="2" t="inlineStr">
        <is>
          <t>Nita Susanto</t>
        </is>
      </c>
      <c r="C62" s="2" t="inlineStr">
        <is>
          <t>Female</t>
        </is>
      </c>
      <c r="D62" s="2" t="inlineStr">
        <is>
          <t>R&amp;D</t>
        </is>
      </c>
      <c r="E62" s="2" t="inlineStr">
        <is>
          <t>Junior</t>
        </is>
      </c>
      <c r="F62" s="2" t="inlineStr">
        <is>
          <t>Full-Time</t>
        </is>
      </c>
      <c r="G62" s="2" t="inlineStr">
        <is>
          <t>2017-07-07</t>
        </is>
      </c>
      <c r="H62" s="2" t="n">
        <v>54</v>
      </c>
      <c r="I62" s="2" t="inlineStr">
        <is>
          <t>Master</t>
        </is>
      </c>
      <c r="J62" s="2" t="inlineStr">
        <is>
          <t>Surabaya</t>
        </is>
      </c>
      <c r="K62" s="3" t="n">
        <v>6696040</v>
      </c>
      <c r="L62" s="2" t="n">
        <v>3.2</v>
      </c>
      <c r="M62" s="2" t="n">
        <v>7</v>
      </c>
      <c r="N62" s="2" t="inlineStr">
        <is>
          <t>Active</t>
        </is>
      </c>
    </row>
    <row r="63">
      <c r="A63" s="4" t="inlineStr">
        <is>
          <t>EMP0062</t>
        </is>
      </c>
      <c r="B63" s="4" t="inlineStr">
        <is>
          <t>Ayu Kusuma</t>
        </is>
      </c>
      <c r="C63" s="4" t="inlineStr">
        <is>
          <t>Female</t>
        </is>
      </c>
      <c r="D63" s="4" t="inlineStr">
        <is>
          <t>Operations</t>
        </is>
      </c>
      <c r="E63" s="4" t="inlineStr">
        <is>
          <t>Senior</t>
        </is>
      </c>
      <c r="F63" s="4" t="inlineStr">
        <is>
          <t>Part-Time</t>
        </is>
      </c>
      <c r="G63" s="4" t="inlineStr">
        <is>
          <t>2022-03-15</t>
        </is>
      </c>
      <c r="H63" s="4" t="n">
        <v>56</v>
      </c>
      <c r="I63" s="4" t="inlineStr">
        <is>
          <t>Bachelor</t>
        </is>
      </c>
      <c r="J63" s="4" t="inlineStr">
        <is>
          <t>Bandung</t>
        </is>
      </c>
      <c r="K63" s="5" t="n">
        <v>9341814</v>
      </c>
      <c r="L63" s="4" t="n">
        <v>3.9</v>
      </c>
      <c r="M63" s="4" t="n">
        <v>2</v>
      </c>
      <c r="N63" s="4" t="inlineStr">
        <is>
          <t>Active</t>
        </is>
      </c>
    </row>
    <row r="64">
      <c r="A64" s="2" t="inlineStr">
        <is>
          <t>EMP0063</t>
        </is>
      </c>
      <c r="B64" s="2" t="inlineStr">
        <is>
          <t>Lina Utama</t>
        </is>
      </c>
      <c r="C64" s="2" t="inlineStr">
        <is>
          <t>Female</t>
        </is>
      </c>
      <c r="D64" s="2" t="inlineStr">
        <is>
          <t>Legal</t>
        </is>
      </c>
      <c r="E64" s="2" t="inlineStr">
        <is>
          <t>Junior</t>
        </is>
      </c>
      <c r="F64" s="2" t="inlineStr">
        <is>
          <t>Contract</t>
        </is>
      </c>
      <c r="G64" s="2" t="inlineStr">
        <is>
          <t>2021-01-11</t>
        </is>
      </c>
      <c r="H64" s="2" t="n">
        <v>52</v>
      </c>
      <c r="I64" s="2" t="inlineStr">
        <is>
          <t>Master</t>
        </is>
      </c>
      <c r="J64" s="2" t="inlineStr">
        <is>
          <t>Semarang</t>
        </is>
      </c>
      <c r="K64" s="3" t="n">
        <v>5971846</v>
      </c>
      <c r="L64" s="2" t="n">
        <v>5</v>
      </c>
      <c r="M64" s="2" t="n">
        <v>3</v>
      </c>
      <c r="N64" s="2" t="inlineStr">
        <is>
          <t>Active</t>
        </is>
      </c>
    </row>
    <row r="65">
      <c r="A65" s="4" t="inlineStr">
        <is>
          <t>EMP0064</t>
        </is>
      </c>
      <c r="B65" s="4" t="inlineStr">
        <is>
          <t>Arif Santoso</t>
        </is>
      </c>
      <c r="C65" s="4" t="inlineStr">
        <is>
          <t>Male</t>
        </is>
      </c>
      <c r="D65" s="4" t="inlineStr">
        <is>
          <t>HR</t>
        </is>
      </c>
      <c r="E65" s="4" t="inlineStr">
        <is>
          <t>Manager</t>
        </is>
      </c>
      <c r="F65" s="4" t="inlineStr">
        <is>
          <t>Contract</t>
        </is>
      </c>
      <c r="G65" s="4" t="inlineStr">
        <is>
          <t>2020-02-28</t>
        </is>
      </c>
      <c r="H65" s="4" t="n">
        <v>50</v>
      </c>
      <c r="I65" s="4" t="inlineStr">
        <is>
          <t>Diploma</t>
        </is>
      </c>
      <c r="J65" s="4" t="inlineStr">
        <is>
          <t>Medan</t>
        </is>
      </c>
      <c r="K65" s="5" t="n">
        <v>16269064</v>
      </c>
      <c r="L65" s="4" t="n">
        <v>2.9</v>
      </c>
      <c r="M65" s="4" t="n">
        <v>4</v>
      </c>
      <c r="N65" s="4" t="inlineStr">
        <is>
          <t>Active</t>
        </is>
      </c>
    </row>
    <row r="66">
      <c r="A66" s="2" t="inlineStr">
        <is>
          <t>EMP0065</t>
        </is>
      </c>
      <c r="B66" s="2" t="inlineStr">
        <is>
          <t>Andi Susanto</t>
        </is>
      </c>
      <c r="C66" s="2" t="inlineStr">
        <is>
          <t>Male</t>
        </is>
      </c>
      <c r="D66" s="2" t="inlineStr">
        <is>
          <t>IT</t>
        </is>
      </c>
      <c r="E66" s="2" t="inlineStr">
        <is>
          <t>Senior</t>
        </is>
      </c>
      <c r="F66" s="2" t="inlineStr">
        <is>
          <t>Full-Time</t>
        </is>
      </c>
      <c r="G66" s="2" t="inlineStr">
        <is>
          <t>2021-11-03</t>
        </is>
      </c>
      <c r="H66" s="2" t="n">
        <v>43</v>
      </c>
      <c r="I66" s="2" t="inlineStr">
        <is>
          <t>Master</t>
        </is>
      </c>
      <c r="J66" s="2" t="inlineStr">
        <is>
          <t>Semarang</t>
        </is>
      </c>
      <c r="K66" s="3" t="n">
        <v>9300650</v>
      </c>
      <c r="L66" s="2" t="n">
        <v>4.9</v>
      </c>
      <c r="M66" s="2" t="n">
        <v>3</v>
      </c>
      <c r="N66" s="2" t="inlineStr">
        <is>
          <t>Active</t>
        </is>
      </c>
    </row>
    <row r="67">
      <c r="A67" s="4" t="inlineStr">
        <is>
          <t>EMP0066</t>
        </is>
      </c>
      <c r="B67" s="4" t="inlineStr">
        <is>
          <t>Wulan Santoso</t>
        </is>
      </c>
      <c r="C67" s="4" t="inlineStr">
        <is>
          <t>Female</t>
        </is>
      </c>
      <c r="D67" s="4" t="inlineStr">
        <is>
          <t>Finance</t>
        </is>
      </c>
      <c r="E67" s="4" t="inlineStr">
        <is>
          <t>Junior</t>
        </is>
      </c>
      <c r="F67" s="4" t="inlineStr">
        <is>
          <t>Full-Time</t>
        </is>
      </c>
      <c r="G67" s="4" t="inlineStr">
        <is>
          <t>2019-04-24</t>
        </is>
      </c>
      <c r="H67" s="4" t="n">
        <v>27</v>
      </c>
      <c r="I67" s="4" t="inlineStr">
        <is>
          <t>Bachelor</t>
        </is>
      </c>
      <c r="J67" s="4" t="inlineStr">
        <is>
          <t>Jakarta</t>
        </is>
      </c>
      <c r="K67" s="5" t="n">
        <v>6540554</v>
      </c>
      <c r="L67" s="4" t="n">
        <v>4.3</v>
      </c>
      <c r="M67" s="4" t="n">
        <v>5</v>
      </c>
      <c r="N67" s="4" t="inlineStr">
        <is>
          <t>Active</t>
        </is>
      </c>
    </row>
    <row r="68">
      <c r="A68" s="2" t="inlineStr">
        <is>
          <t>EMP0067</t>
        </is>
      </c>
      <c r="B68" s="2" t="inlineStr">
        <is>
          <t>Dimas Santoso</t>
        </is>
      </c>
      <c r="C68" s="2" t="inlineStr">
        <is>
          <t>Male</t>
        </is>
      </c>
      <c r="D68" s="2" t="inlineStr">
        <is>
          <t>Operations</t>
        </is>
      </c>
      <c r="E68" s="2" t="inlineStr">
        <is>
          <t>Senior</t>
        </is>
      </c>
      <c r="F68" s="2" t="inlineStr">
        <is>
          <t>Part-Time</t>
        </is>
      </c>
      <c r="G68" s="2" t="inlineStr">
        <is>
          <t>2019-06-12</t>
        </is>
      </c>
      <c r="H68" s="2" t="n">
        <v>49</v>
      </c>
      <c r="I68" s="2" t="inlineStr">
        <is>
          <t>Diploma</t>
        </is>
      </c>
      <c r="J68" s="2" t="inlineStr">
        <is>
          <t>Bali</t>
        </is>
      </c>
      <c r="K68" s="3" t="n">
        <v>9027116</v>
      </c>
      <c r="L68" s="2" t="n">
        <v>4.2</v>
      </c>
      <c r="M68" s="2" t="n">
        <v>5</v>
      </c>
      <c r="N68" s="2" t="inlineStr">
        <is>
          <t>Active</t>
        </is>
      </c>
    </row>
    <row r="69">
      <c r="A69" s="4" t="inlineStr">
        <is>
          <t>EMP0068</t>
        </is>
      </c>
      <c r="B69" s="4" t="inlineStr">
        <is>
          <t>Andi Hidayat</t>
        </is>
      </c>
      <c r="C69" s="4" t="inlineStr">
        <is>
          <t>Male</t>
        </is>
      </c>
      <c r="D69" s="4" t="inlineStr">
        <is>
          <t>Marketing</t>
        </is>
      </c>
      <c r="E69" s="4" t="inlineStr">
        <is>
          <t>Supervisor</t>
        </is>
      </c>
      <c r="F69" s="4" t="inlineStr">
        <is>
          <t>Contract</t>
        </is>
      </c>
      <c r="G69" s="4" t="inlineStr">
        <is>
          <t>2017-04-15</t>
        </is>
      </c>
      <c r="H69" s="4" t="n">
        <v>38</v>
      </c>
      <c r="I69" s="4" t="inlineStr">
        <is>
          <t>Bachelor</t>
        </is>
      </c>
      <c r="J69" s="4" t="inlineStr">
        <is>
          <t>Makassar</t>
        </is>
      </c>
      <c r="K69" s="5" t="n">
        <v>10828192</v>
      </c>
      <c r="L69" s="4" t="n">
        <v>4.5</v>
      </c>
      <c r="M69" s="4" t="n">
        <v>7</v>
      </c>
      <c r="N69" s="4" t="inlineStr">
        <is>
          <t>Inactive</t>
        </is>
      </c>
    </row>
    <row r="70">
      <c r="A70" s="2" t="inlineStr">
        <is>
          <t>EMP0069</t>
        </is>
      </c>
      <c r="B70" s="2" t="inlineStr">
        <is>
          <t>Andi Susanto</t>
        </is>
      </c>
      <c r="C70" s="2" t="inlineStr">
        <is>
          <t>Male</t>
        </is>
      </c>
      <c r="D70" s="2" t="inlineStr">
        <is>
          <t>Sales</t>
        </is>
      </c>
      <c r="E70" s="2" t="inlineStr">
        <is>
          <t>Manager</t>
        </is>
      </c>
      <c r="F70" s="2" t="inlineStr">
        <is>
          <t>Full-Time</t>
        </is>
      </c>
      <c r="G70" s="2" t="inlineStr">
        <is>
          <t>2021-12-09</t>
        </is>
      </c>
      <c r="H70" s="2" t="n">
        <v>51</v>
      </c>
      <c r="I70" s="2" t="inlineStr">
        <is>
          <t>Master</t>
        </is>
      </c>
      <c r="J70" s="2" t="inlineStr">
        <is>
          <t>Surabaya</t>
        </is>
      </c>
      <c r="K70" s="3" t="n">
        <v>20697181</v>
      </c>
      <c r="L70" s="2" t="n">
        <v>4.6</v>
      </c>
      <c r="M70" s="2" t="n">
        <v>3</v>
      </c>
      <c r="N70" s="2" t="inlineStr">
        <is>
          <t>Active</t>
        </is>
      </c>
    </row>
    <row r="71">
      <c r="A71" s="4" t="inlineStr">
        <is>
          <t>EMP0070</t>
        </is>
      </c>
      <c r="B71" s="4" t="inlineStr">
        <is>
          <t>Dina Rahmat</t>
        </is>
      </c>
      <c r="C71" s="4" t="inlineStr">
        <is>
          <t>Female</t>
        </is>
      </c>
      <c r="D71" s="4" t="inlineStr">
        <is>
          <t>IT</t>
        </is>
      </c>
      <c r="E71" s="4" t="inlineStr">
        <is>
          <t>Director</t>
        </is>
      </c>
      <c r="F71" s="4" t="inlineStr">
        <is>
          <t>Full-Time</t>
        </is>
      </c>
      <c r="G71" s="4" t="inlineStr">
        <is>
          <t>2021-05-01</t>
        </is>
      </c>
      <c r="H71" s="4" t="n">
        <v>58</v>
      </c>
      <c r="I71" s="4" t="inlineStr">
        <is>
          <t>Master</t>
        </is>
      </c>
      <c r="J71" s="4" t="inlineStr">
        <is>
          <t>Semarang</t>
        </is>
      </c>
      <c r="K71" s="5" t="n">
        <v>30412681</v>
      </c>
      <c r="L71" s="4" t="n">
        <v>2.6</v>
      </c>
      <c r="M71" s="4" t="n">
        <v>3</v>
      </c>
      <c r="N71" s="4" t="inlineStr">
        <is>
          <t>Active</t>
        </is>
      </c>
    </row>
    <row r="72">
      <c r="A72" s="2" t="inlineStr">
        <is>
          <t>EMP0071</t>
        </is>
      </c>
      <c r="B72" s="2" t="inlineStr">
        <is>
          <t>Putri Utama</t>
        </is>
      </c>
      <c r="C72" s="2" t="inlineStr">
        <is>
          <t>Female</t>
        </is>
      </c>
      <c r="D72" s="2" t="inlineStr">
        <is>
          <t>Sales</t>
        </is>
      </c>
      <c r="E72" s="2" t="inlineStr">
        <is>
          <t>Junior</t>
        </is>
      </c>
      <c r="F72" s="2" t="inlineStr">
        <is>
          <t>Full-Time</t>
        </is>
      </c>
      <c r="G72" s="2" t="inlineStr">
        <is>
          <t>2019-11-25</t>
        </is>
      </c>
      <c r="H72" s="2" t="n">
        <v>30</v>
      </c>
      <c r="I72" s="2" t="inlineStr">
        <is>
          <t>Bachelor</t>
        </is>
      </c>
      <c r="J72" s="2" t="inlineStr">
        <is>
          <t>Makassar</t>
        </is>
      </c>
      <c r="K72" s="3" t="n">
        <v>6369510</v>
      </c>
      <c r="L72" s="2" t="n">
        <v>3.3</v>
      </c>
      <c r="M72" s="2" t="n">
        <v>5</v>
      </c>
      <c r="N72" s="2" t="inlineStr">
        <is>
          <t>Active</t>
        </is>
      </c>
    </row>
    <row r="73">
      <c r="A73" s="4" t="inlineStr">
        <is>
          <t>EMP0072</t>
        </is>
      </c>
      <c r="B73" s="4" t="inlineStr">
        <is>
          <t>Rina Wijaya</t>
        </is>
      </c>
      <c r="C73" s="4" t="inlineStr">
        <is>
          <t>Female</t>
        </is>
      </c>
      <c r="D73" s="4" t="inlineStr">
        <is>
          <t>IT</t>
        </is>
      </c>
      <c r="E73" s="4" t="inlineStr">
        <is>
          <t>Senior</t>
        </is>
      </c>
      <c r="F73" s="4" t="inlineStr">
        <is>
          <t>Part-Time</t>
        </is>
      </c>
      <c r="G73" s="4" t="inlineStr">
        <is>
          <t>2017-04-05</t>
        </is>
      </c>
      <c r="H73" s="4" t="n">
        <v>56</v>
      </c>
      <c r="I73" s="4" t="inlineStr">
        <is>
          <t>Master</t>
        </is>
      </c>
      <c r="J73" s="4" t="inlineStr">
        <is>
          <t>Bandung</t>
        </is>
      </c>
      <c r="K73" s="5" t="n">
        <v>9294417</v>
      </c>
      <c r="L73" s="4" t="n">
        <v>4.8</v>
      </c>
      <c r="M73" s="4" t="n">
        <v>7</v>
      </c>
      <c r="N73" s="4" t="inlineStr">
        <is>
          <t>Active</t>
        </is>
      </c>
    </row>
    <row r="74">
      <c r="A74" s="2" t="inlineStr">
        <is>
          <t>EMP0073</t>
        </is>
      </c>
      <c r="B74" s="2" t="inlineStr">
        <is>
          <t>Maya Kusuma</t>
        </is>
      </c>
      <c r="C74" s="2" t="inlineStr">
        <is>
          <t>Female</t>
        </is>
      </c>
      <c r="D74" s="2" t="inlineStr">
        <is>
          <t>Sales</t>
        </is>
      </c>
      <c r="E74" s="2" t="inlineStr">
        <is>
          <t>Staff</t>
        </is>
      </c>
      <c r="F74" s="2" t="inlineStr">
        <is>
          <t>Full-Time</t>
        </is>
      </c>
      <c r="G74" s="2" t="inlineStr">
        <is>
          <t>2016-03-25</t>
        </is>
      </c>
      <c r="H74" s="2" t="n">
        <v>36</v>
      </c>
      <c r="I74" s="2" t="inlineStr">
        <is>
          <t>Master</t>
        </is>
      </c>
      <c r="J74" s="2" t="inlineStr">
        <is>
          <t>Makassar</t>
        </is>
      </c>
      <c r="K74" s="3" t="n">
        <v>4808707</v>
      </c>
      <c r="L74" s="2" t="n">
        <v>3.5</v>
      </c>
      <c r="M74" s="2" t="n">
        <v>8</v>
      </c>
      <c r="N74" s="2" t="inlineStr">
        <is>
          <t>Active</t>
        </is>
      </c>
    </row>
    <row r="75">
      <c r="A75" s="4" t="inlineStr">
        <is>
          <t>EMP0074</t>
        </is>
      </c>
      <c r="B75" s="4" t="inlineStr">
        <is>
          <t>Dewi Hidayat</t>
        </is>
      </c>
      <c r="C75" s="4" t="inlineStr">
        <is>
          <t>Female</t>
        </is>
      </c>
      <c r="D75" s="4" t="inlineStr">
        <is>
          <t>Operations</t>
        </is>
      </c>
      <c r="E75" s="4" t="inlineStr">
        <is>
          <t>Senior</t>
        </is>
      </c>
      <c r="F75" s="4" t="inlineStr">
        <is>
          <t>Full-Time</t>
        </is>
      </c>
      <c r="G75" s="4" t="inlineStr">
        <is>
          <t>2022-06-22</t>
        </is>
      </c>
      <c r="H75" s="4" t="n">
        <v>38</v>
      </c>
      <c r="I75" s="4" t="inlineStr">
        <is>
          <t>Bachelor</t>
        </is>
      </c>
      <c r="J75" s="4" t="inlineStr">
        <is>
          <t>Semarang</t>
        </is>
      </c>
      <c r="K75" s="5" t="n">
        <v>9536735</v>
      </c>
      <c r="L75" s="4" t="n">
        <v>3.4</v>
      </c>
      <c r="M75" s="4" t="n">
        <v>2</v>
      </c>
      <c r="N75" s="4" t="inlineStr">
        <is>
          <t>Active</t>
        </is>
      </c>
    </row>
    <row r="76">
      <c r="A76" s="2" t="inlineStr">
        <is>
          <t>EMP0075</t>
        </is>
      </c>
      <c r="B76" s="2" t="inlineStr">
        <is>
          <t>Sari Rahmat</t>
        </is>
      </c>
      <c r="C76" s="2" t="inlineStr">
        <is>
          <t>Female</t>
        </is>
      </c>
      <c r="D76" s="2" t="inlineStr">
        <is>
          <t>Marketing</t>
        </is>
      </c>
      <c r="E76" s="2" t="inlineStr">
        <is>
          <t>Director</t>
        </is>
      </c>
      <c r="F76" s="2" t="inlineStr">
        <is>
          <t>Full-Time</t>
        </is>
      </c>
      <c r="G76" s="2" t="inlineStr">
        <is>
          <t>2022-12-10</t>
        </is>
      </c>
      <c r="H76" s="2" t="n">
        <v>48</v>
      </c>
      <c r="I76" s="2" t="inlineStr">
        <is>
          <t>Diploma</t>
        </is>
      </c>
      <c r="J76" s="2" t="inlineStr">
        <is>
          <t>Jakarta</t>
        </is>
      </c>
      <c r="K76" s="3" t="n">
        <v>31823830</v>
      </c>
      <c r="L76" s="2" t="n">
        <v>3.3</v>
      </c>
      <c r="M76" s="2" t="n">
        <v>2</v>
      </c>
      <c r="N76" s="2" t="inlineStr">
        <is>
          <t>Active</t>
        </is>
      </c>
    </row>
    <row r="77">
      <c r="A77" s="4" t="inlineStr">
        <is>
          <t>EMP0076</t>
        </is>
      </c>
      <c r="B77" s="4" t="inlineStr">
        <is>
          <t>Fajar Pratama</t>
        </is>
      </c>
      <c r="C77" s="4" t="inlineStr">
        <is>
          <t>Male</t>
        </is>
      </c>
      <c r="D77" s="4" t="inlineStr">
        <is>
          <t>Legal</t>
        </is>
      </c>
      <c r="E77" s="4" t="inlineStr">
        <is>
          <t>Supervisor</t>
        </is>
      </c>
      <c r="F77" s="4" t="inlineStr">
        <is>
          <t>Full-Time</t>
        </is>
      </c>
      <c r="G77" s="4" t="inlineStr">
        <is>
          <t>2023-07-19</t>
        </is>
      </c>
      <c r="H77" s="4" t="n">
        <v>31</v>
      </c>
      <c r="I77" s="4" t="inlineStr">
        <is>
          <t>Master</t>
        </is>
      </c>
      <c r="J77" s="4" t="inlineStr">
        <is>
          <t>Makassar</t>
        </is>
      </c>
      <c r="K77" s="5" t="n">
        <v>11097064</v>
      </c>
      <c r="L77" s="4" t="n">
        <v>3.7</v>
      </c>
      <c r="M77" s="4" t="n">
        <v>1</v>
      </c>
      <c r="N77" s="4" t="inlineStr">
        <is>
          <t>Active</t>
        </is>
      </c>
    </row>
    <row r="78">
      <c r="A78" s="2" t="inlineStr">
        <is>
          <t>EMP0077</t>
        </is>
      </c>
      <c r="B78" s="2" t="inlineStr">
        <is>
          <t>Sari Rahmat</t>
        </is>
      </c>
      <c r="C78" s="2" t="inlineStr">
        <is>
          <t>Female</t>
        </is>
      </c>
      <c r="D78" s="2" t="inlineStr">
        <is>
          <t>Marketing</t>
        </is>
      </c>
      <c r="E78" s="2" t="inlineStr">
        <is>
          <t>Supervisor</t>
        </is>
      </c>
      <c r="F78" s="2" t="inlineStr">
        <is>
          <t>Full-Time</t>
        </is>
      </c>
      <c r="G78" s="2" t="inlineStr">
        <is>
          <t>2018-06-04</t>
        </is>
      </c>
      <c r="H78" s="2" t="n">
        <v>45</v>
      </c>
      <c r="I78" s="2" t="inlineStr">
        <is>
          <t>Bachelor</t>
        </is>
      </c>
      <c r="J78" s="2" t="inlineStr">
        <is>
          <t>Makassar</t>
        </is>
      </c>
      <c r="K78" s="3" t="n">
        <v>11876021</v>
      </c>
      <c r="L78" s="2" t="n">
        <v>3.5</v>
      </c>
      <c r="M78" s="2" t="n">
        <v>6</v>
      </c>
      <c r="N78" s="2" t="inlineStr">
        <is>
          <t>Active</t>
        </is>
      </c>
    </row>
    <row r="79">
      <c r="A79" s="4" t="inlineStr">
        <is>
          <t>EMP0078</t>
        </is>
      </c>
      <c r="B79" s="4" t="inlineStr">
        <is>
          <t>Arif Wijaya</t>
        </is>
      </c>
      <c r="C79" s="4" t="inlineStr">
        <is>
          <t>Male</t>
        </is>
      </c>
      <c r="D79" s="4" t="inlineStr">
        <is>
          <t>Marketing</t>
        </is>
      </c>
      <c r="E79" s="4" t="inlineStr">
        <is>
          <t>Director</t>
        </is>
      </c>
      <c r="F79" s="4" t="inlineStr">
        <is>
          <t>Full-Time</t>
        </is>
      </c>
      <c r="G79" s="4" t="inlineStr">
        <is>
          <t>2015-01-26</t>
        </is>
      </c>
      <c r="H79" s="4" t="n">
        <v>43</v>
      </c>
      <c r="I79" s="4" t="inlineStr">
        <is>
          <t>Bachelor</t>
        </is>
      </c>
      <c r="J79" s="4" t="inlineStr">
        <is>
          <t>Surabaya</t>
        </is>
      </c>
      <c r="K79" s="5" t="n">
        <v>30708846</v>
      </c>
      <c r="L79" s="4" t="n">
        <v>3</v>
      </c>
      <c r="M79" s="4" t="n">
        <v>9</v>
      </c>
      <c r="N79" s="4" t="inlineStr">
        <is>
          <t>Active</t>
        </is>
      </c>
    </row>
    <row r="80">
      <c r="A80" s="2" t="inlineStr">
        <is>
          <t>EMP0079</t>
        </is>
      </c>
      <c r="B80" s="2" t="inlineStr">
        <is>
          <t>Eko Utama</t>
        </is>
      </c>
      <c r="C80" s="2" t="inlineStr">
        <is>
          <t>Male</t>
        </is>
      </c>
      <c r="D80" s="2" t="inlineStr">
        <is>
          <t>Marketing</t>
        </is>
      </c>
      <c r="E80" s="2" t="inlineStr">
        <is>
          <t>Senior</t>
        </is>
      </c>
      <c r="F80" s="2" t="inlineStr">
        <is>
          <t>Part-Time</t>
        </is>
      </c>
      <c r="G80" s="2" t="inlineStr">
        <is>
          <t>2015-05-28</t>
        </is>
      </c>
      <c r="H80" s="2" t="n">
        <v>31</v>
      </c>
      <c r="I80" s="2" t="inlineStr">
        <is>
          <t>PhD</t>
        </is>
      </c>
      <c r="J80" s="2" t="inlineStr">
        <is>
          <t>Bali</t>
        </is>
      </c>
      <c r="K80" s="3" t="n">
        <v>8663971</v>
      </c>
      <c r="L80" s="2" t="n">
        <v>2.9</v>
      </c>
      <c r="M80" s="2" t="n">
        <v>9</v>
      </c>
      <c r="N80" s="2" t="inlineStr">
        <is>
          <t>Active</t>
        </is>
      </c>
    </row>
    <row r="81">
      <c r="A81" s="4" t="inlineStr">
        <is>
          <t>EMP0080</t>
        </is>
      </c>
      <c r="B81" s="4" t="inlineStr">
        <is>
          <t>Rizki Santoso</t>
        </is>
      </c>
      <c r="C81" s="4" t="inlineStr">
        <is>
          <t>Male</t>
        </is>
      </c>
      <c r="D81" s="4" t="inlineStr">
        <is>
          <t>Sales</t>
        </is>
      </c>
      <c r="E81" s="4" t="inlineStr">
        <is>
          <t>Junior</t>
        </is>
      </c>
      <c r="F81" s="4" t="inlineStr">
        <is>
          <t>Full-Time</t>
        </is>
      </c>
      <c r="G81" s="4" t="inlineStr">
        <is>
          <t>2015-03-09</t>
        </is>
      </c>
      <c r="H81" s="4" t="n">
        <v>25</v>
      </c>
      <c r="I81" s="4" t="inlineStr">
        <is>
          <t>Diploma</t>
        </is>
      </c>
      <c r="J81" s="4" t="inlineStr">
        <is>
          <t>Medan</t>
        </is>
      </c>
      <c r="K81" s="5" t="n">
        <v>6189128</v>
      </c>
      <c r="L81" s="4" t="n">
        <v>4.4</v>
      </c>
      <c r="M81" s="4" t="n">
        <v>9</v>
      </c>
      <c r="N81" s="4" t="inlineStr">
        <is>
          <t>Active</t>
        </is>
      </c>
    </row>
    <row r="82">
      <c r="A82" s="2" t="inlineStr">
        <is>
          <t>EMP0081</t>
        </is>
      </c>
      <c r="B82" s="2" t="inlineStr">
        <is>
          <t>Wulan Wijaya</t>
        </is>
      </c>
      <c r="C82" s="2" t="inlineStr">
        <is>
          <t>Female</t>
        </is>
      </c>
      <c r="D82" s="2" t="inlineStr">
        <is>
          <t>R&amp;D</t>
        </is>
      </c>
      <c r="E82" s="2" t="inlineStr">
        <is>
          <t>Manager</t>
        </is>
      </c>
      <c r="F82" s="2" t="inlineStr">
        <is>
          <t>Full-Time</t>
        </is>
      </c>
      <c r="G82" s="2" t="inlineStr">
        <is>
          <t>2015-12-26</t>
        </is>
      </c>
      <c r="H82" s="2" t="n">
        <v>55</v>
      </c>
      <c r="I82" s="2" t="inlineStr">
        <is>
          <t>Bachelor</t>
        </is>
      </c>
      <c r="J82" s="2" t="inlineStr">
        <is>
          <t>Makassar</t>
        </is>
      </c>
      <c r="K82" s="3" t="n">
        <v>20538117</v>
      </c>
      <c r="L82" s="2" t="n">
        <v>2.7</v>
      </c>
      <c r="M82" s="2" t="n">
        <v>9</v>
      </c>
      <c r="N82" s="2" t="inlineStr">
        <is>
          <t>Active</t>
        </is>
      </c>
    </row>
    <row r="83">
      <c r="A83" s="4" t="inlineStr">
        <is>
          <t>EMP0082</t>
        </is>
      </c>
      <c r="B83" s="4" t="inlineStr">
        <is>
          <t>Nita Wijaya</t>
        </is>
      </c>
      <c r="C83" s="4" t="inlineStr">
        <is>
          <t>Female</t>
        </is>
      </c>
      <c r="D83" s="4" t="inlineStr">
        <is>
          <t>R&amp;D</t>
        </is>
      </c>
      <c r="E83" s="4" t="inlineStr">
        <is>
          <t>Director</t>
        </is>
      </c>
      <c r="F83" s="4" t="inlineStr">
        <is>
          <t>Contract</t>
        </is>
      </c>
      <c r="G83" s="4" t="inlineStr">
        <is>
          <t>2016-02-11</t>
        </is>
      </c>
      <c r="H83" s="4" t="n">
        <v>31</v>
      </c>
      <c r="I83" s="4" t="inlineStr">
        <is>
          <t>Diploma</t>
        </is>
      </c>
      <c r="J83" s="4" t="inlineStr">
        <is>
          <t>Bandung</t>
        </is>
      </c>
      <c r="K83" s="5" t="n">
        <v>29570222</v>
      </c>
      <c r="L83" s="4" t="n">
        <v>4</v>
      </c>
      <c r="M83" s="4" t="n">
        <v>8</v>
      </c>
      <c r="N83" s="4" t="inlineStr">
        <is>
          <t>Active</t>
        </is>
      </c>
    </row>
    <row r="84">
      <c r="A84" s="2" t="inlineStr">
        <is>
          <t>EMP0083</t>
        </is>
      </c>
      <c r="B84" s="2" t="inlineStr">
        <is>
          <t>Dina Kusuma</t>
        </is>
      </c>
      <c r="C84" s="2" t="inlineStr">
        <is>
          <t>Female</t>
        </is>
      </c>
      <c r="D84" s="2" t="inlineStr">
        <is>
          <t>R&amp;D</t>
        </is>
      </c>
      <c r="E84" s="2" t="inlineStr">
        <is>
          <t>Manager</t>
        </is>
      </c>
      <c r="F84" s="2" t="inlineStr">
        <is>
          <t>Full-Time</t>
        </is>
      </c>
      <c r="G84" s="2" t="inlineStr">
        <is>
          <t>2016-12-04</t>
        </is>
      </c>
      <c r="H84" s="2" t="n">
        <v>57</v>
      </c>
      <c r="I84" s="2" t="inlineStr">
        <is>
          <t>Master</t>
        </is>
      </c>
      <c r="J84" s="2" t="inlineStr">
        <is>
          <t>Surabaya</t>
        </is>
      </c>
      <c r="K84" s="3" t="n">
        <v>18135314</v>
      </c>
      <c r="L84" s="2" t="n">
        <v>4.7</v>
      </c>
      <c r="M84" s="2" t="n">
        <v>8</v>
      </c>
      <c r="N84" s="2" t="inlineStr">
        <is>
          <t>Active</t>
        </is>
      </c>
    </row>
    <row r="85">
      <c r="A85" s="4" t="inlineStr">
        <is>
          <t>EMP0084</t>
        </is>
      </c>
      <c r="B85" s="4" t="inlineStr">
        <is>
          <t>Nita Hidayat</t>
        </is>
      </c>
      <c r="C85" s="4" t="inlineStr">
        <is>
          <t>Female</t>
        </is>
      </c>
      <c r="D85" s="4" t="inlineStr">
        <is>
          <t>Finance</t>
        </is>
      </c>
      <c r="E85" s="4" t="inlineStr">
        <is>
          <t>Senior</t>
        </is>
      </c>
      <c r="F85" s="4" t="inlineStr">
        <is>
          <t>Full-Time</t>
        </is>
      </c>
      <c r="G85" s="4" t="inlineStr">
        <is>
          <t>2019-06-05</t>
        </is>
      </c>
      <c r="H85" s="4" t="n">
        <v>52</v>
      </c>
      <c r="I85" s="4" t="inlineStr">
        <is>
          <t>Diploma</t>
        </is>
      </c>
      <c r="J85" s="4" t="inlineStr">
        <is>
          <t>Semarang</t>
        </is>
      </c>
      <c r="K85" s="5" t="n">
        <v>8292069</v>
      </c>
      <c r="L85" s="4" t="n">
        <v>3.6</v>
      </c>
      <c r="M85" s="4" t="n">
        <v>5</v>
      </c>
      <c r="N85" s="4" t="inlineStr">
        <is>
          <t>Active</t>
        </is>
      </c>
    </row>
    <row r="86">
      <c r="A86" s="2" t="inlineStr">
        <is>
          <t>EMP0085</t>
        </is>
      </c>
      <c r="B86" s="2" t="inlineStr">
        <is>
          <t>Rina Santoso</t>
        </is>
      </c>
      <c r="C86" s="2" t="inlineStr">
        <is>
          <t>Female</t>
        </is>
      </c>
      <c r="D86" s="2" t="inlineStr">
        <is>
          <t>Sales</t>
        </is>
      </c>
      <c r="E86" s="2" t="inlineStr">
        <is>
          <t>Director</t>
        </is>
      </c>
      <c r="F86" s="2" t="inlineStr">
        <is>
          <t>Full-Time</t>
        </is>
      </c>
      <c r="G86" s="2" t="inlineStr">
        <is>
          <t>2020-11-25</t>
        </is>
      </c>
      <c r="H86" s="2" t="n">
        <v>49</v>
      </c>
      <c r="I86" s="2" t="inlineStr">
        <is>
          <t>Master</t>
        </is>
      </c>
      <c r="J86" s="2" t="inlineStr">
        <is>
          <t>Makassar</t>
        </is>
      </c>
      <c r="K86" s="3" t="n">
        <v>25560122</v>
      </c>
      <c r="L86" s="2" t="n">
        <v>3.2</v>
      </c>
      <c r="M86" s="2" t="n">
        <v>4</v>
      </c>
      <c r="N86" s="2" t="inlineStr">
        <is>
          <t>Active</t>
        </is>
      </c>
    </row>
    <row r="87">
      <c r="A87" s="4" t="inlineStr">
        <is>
          <t>EMP0086</t>
        </is>
      </c>
      <c r="B87" s="4" t="inlineStr">
        <is>
          <t>Eko Utama</t>
        </is>
      </c>
      <c r="C87" s="4" t="inlineStr">
        <is>
          <t>Male</t>
        </is>
      </c>
      <c r="D87" s="4" t="inlineStr">
        <is>
          <t>HR</t>
        </is>
      </c>
      <c r="E87" s="4" t="inlineStr">
        <is>
          <t>Director</t>
        </is>
      </c>
      <c r="F87" s="4" t="inlineStr">
        <is>
          <t>Full-Time</t>
        </is>
      </c>
      <c r="G87" s="4" t="inlineStr">
        <is>
          <t>2016-06-28</t>
        </is>
      </c>
      <c r="H87" s="4" t="n">
        <v>57</v>
      </c>
      <c r="I87" s="4" t="inlineStr">
        <is>
          <t>Bachelor</t>
        </is>
      </c>
      <c r="J87" s="4" t="inlineStr">
        <is>
          <t>Semarang</t>
        </is>
      </c>
      <c r="K87" s="5" t="n">
        <v>27149977</v>
      </c>
      <c r="L87" s="4" t="n">
        <v>3.1</v>
      </c>
      <c r="M87" s="4" t="n">
        <v>8</v>
      </c>
      <c r="N87" s="4" t="inlineStr">
        <is>
          <t>Active</t>
        </is>
      </c>
    </row>
    <row r="88">
      <c r="A88" s="2" t="inlineStr">
        <is>
          <t>EMP0087</t>
        </is>
      </c>
      <c r="B88" s="2" t="inlineStr">
        <is>
          <t>Eko Kusuma</t>
        </is>
      </c>
      <c r="C88" s="2" t="inlineStr">
        <is>
          <t>Male</t>
        </is>
      </c>
      <c r="D88" s="2" t="inlineStr">
        <is>
          <t>Operations</t>
        </is>
      </c>
      <c r="E88" s="2" t="inlineStr">
        <is>
          <t>Junior</t>
        </is>
      </c>
      <c r="F88" s="2" t="inlineStr">
        <is>
          <t>Full-Time</t>
        </is>
      </c>
      <c r="G88" s="2" t="inlineStr">
        <is>
          <t>2019-06-12</t>
        </is>
      </c>
      <c r="H88" s="2" t="n">
        <v>22</v>
      </c>
      <c r="I88" s="2" t="inlineStr">
        <is>
          <t>Bachelor</t>
        </is>
      </c>
      <c r="J88" s="2" t="inlineStr">
        <is>
          <t>Surabaya</t>
        </is>
      </c>
      <c r="K88" s="3" t="n">
        <v>6249481</v>
      </c>
      <c r="L88" s="2" t="n">
        <v>3.5</v>
      </c>
      <c r="M88" s="2" t="n">
        <v>5</v>
      </c>
      <c r="N88" s="2" t="inlineStr">
        <is>
          <t>Active</t>
        </is>
      </c>
    </row>
    <row r="89">
      <c r="A89" s="4" t="inlineStr">
        <is>
          <t>EMP0088</t>
        </is>
      </c>
      <c r="B89" s="4" t="inlineStr">
        <is>
          <t>Andi Utama</t>
        </is>
      </c>
      <c r="C89" s="4" t="inlineStr">
        <is>
          <t>Male</t>
        </is>
      </c>
      <c r="D89" s="4" t="inlineStr">
        <is>
          <t>Legal</t>
        </is>
      </c>
      <c r="E89" s="4" t="inlineStr">
        <is>
          <t>Supervisor</t>
        </is>
      </c>
      <c r="F89" s="4" t="inlineStr">
        <is>
          <t>Full-Time</t>
        </is>
      </c>
      <c r="G89" s="4" t="inlineStr">
        <is>
          <t>2017-06-10</t>
        </is>
      </c>
      <c r="H89" s="4" t="n">
        <v>42</v>
      </c>
      <c r="I89" s="4" t="inlineStr">
        <is>
          <t>Master</t>
        </is>
      </c>
      <c r="J89" s="4" t="inlineStr">
        <is>
          <t>Bali</t>
        </is>
      </c>
      <c r="K89" s="5" t="n">
        <v>12588671</v>
      </c>
      <c r="L89" s="4" t="n">
        <v>4.7</v>
      </c>
      <c r="M89" s="4" t="n">
        <v>7</v>
      </c>
      <c r="N89" s="4" t="inlineStr">
        <is>
          <t>Active</t>
        </is>
      </c>
    </row>
    <row r="90">
      <c r="A90" s="2" t="inlineStr">
        <is>
          <t>EMP0089</t>
        </is>
      </c>
      <c r="B90" s="2" t="inlineStr">
        <is>
          <t>Andi Kusuma</t>
        </is>
      </c>
      <c r="C90" s="2" t="inlineStr">
        <is>
          <t>Male</t>
        </is>
      </c>
      <c r="D90" s="2" t="inlineStr">
        <is>
          <t>R&amp;D</t>
        </is>
      </c>
      <c r="E90" s="2" t="inlineStr">
        <is>
          <t>Director</t>
        </is>
      </c>
      <c r="F90" s="2" t="inlineStr">
        <is>
          <t>Full-Time</t>
        </is>
      </c>
      <c r="G90" s="2" t="inlineStr">
        <is>
          <t>2022-07-09</t>
        </is>
      </c>
      <c r="H90" s="2" t="n">
        <v>35</v>
      </c>
      <c r="I90" s="2" t="inlineStr">
        <is>
          <t>Master</t>
        </is>
      </c>
      <c r="J90" s="2" t="inlineStr">
        <is>
          <t>Jakarta</t>
        </is>
      </c>
      <c r="K90" s="3" t="n">
        <v>27616209</v>
      </c>
      <c r="L90" s="2" t="n">
        <v>2.8</v>
      </c>
      <c r="M90" s="2" t="n">
        <v>2</v>
      </c>
      <c r="N90" s="2" t="inlineStr">
        <is>
          <t>Active</t>
        </is>
      </c>
    </row>
    <row r="91">
      <c r="A91" s="4" t="inlineStr">
        <is>
          <t>EMP0090</t>
        </is>
      </c>
      <c r="B91" s="4" t="inlineStr">
        <is>
          <t>Wulan Kusuma</t>
        </is>
      </c>
      <c r="C91" s="4" t="inlineStr">
        <is>
          <t>Female</t>
        </is>
      </c>
      <c r="D91" s="4" t="inlineStr">
        <is>
          <t>Operations</t>
        </is>
      </c>
      <c r="E91" s="4" t="inlineStr">
        <is>
          <t>Junior</t>
        </is>
      </c>
      <c r="F91" s="4" t="inlineStr">
        <is>
          <t>Full-Time</t>
        </is>
      </c>
      <c r="G91" s="4" t="inlineStr">
        <is>
          <t>2015-01-07</t>
        </is>
      </c>
      <c r="H91" s="4" t="n">
        <v>41</v>
      </c>
      <c r="I91" s="4" t="inlineStr">
        <is>
          <t>PhD</t>
        </is>
      </c>
      <c r="J91" s="4" t="inlineStr">
        <is>
          <t>Semarang</t>
        </is>
      </c>
      <c r="K91" s="5" t="n">
        <v>5605852</v>
      </c>
      <c r="L91" s="4" t="n">
        <v>3.1</v>
      </c>
      <c r="M91" s="4" t="n">
        <v>9</v>
      </c>
      <c r="N91" s="4" t="inlineStr">
        <is>
          <t>Active</t>
        </is>
      </c>
    </row>
    <row r="92">
      <c r="A92" s="2" t="inlineStr">
        <is>
          <t>EMP0091</t>
        </is>
      </c>
      <c r="B92" s="2" t="inlineStr">
        <is>
          <t>Arif Hidayat</t>
        </is>
      </c>
      <c r="C92" s="2" t="inlineStr">
        <is>
          <t>Male</t>
        </is>
      </c>
      <c r="D92" s="2" t="inlineStr">
        <is>
          <t>HR</t>
        </is>
      </c>
      <c r="E92" s="2" t="inlineStr">
        <is>
          <t>Junior</t>
        </is>
      </c>
      <c r="F92" s="2" t="inlineStr">
        <is>
          <t>Full-Time</t>
        </is>
      </c>
      <c r="G92" s="2" t="inlineStr">
        <is>
          <t>2018-09-18</t>
        </is>
      </c>
      <c r="H92" s="2" t="n">
        <v>44</v>
      </c>
      <c r="I92" s="2" t="inlineStr">
        <is>
          <t>Diploma</t>
        </is>
      </c>
      <c r="J92" s="2" t="inlineStr">
        <is>
          <t>Semarang</t>
        </is>
      </c>
      <c r="K92" s="3" t="n">
        <v>6513061</v>
      </c>
      <c r="L92" s="2" t="n">
        <v>3.6</v>
      </c>
      <c r="M92" s="2" t="n">
        <v>6</v>
      </c>
      <c r="N92" s="2" t="inlineStr">
        <is>
          <t>Active</t>
        </is>
      </c>
    </row>
    <row r="93">
      <c r="A93" s="4" t="inlineStr">
        <is>
          <t>EMP0092</t>
        </is>
      </c>
      <c r="B93" s="4" t="inlineStr">
        <is>
          <t>Hendra Hidayat</t>
        </is>
      </c>
      <c r="C93" s="4" t="inlineStr">
        <is>
          <t>Male</t>
        </is>
      </c>
      <c r="D93" s="4" t="inlineStr">
        <is>
          <t>Legal</t>
        </is>
      </c>
      <c r="E93" s="4" t="inlineStr">
        <is>
          <t>Director</t>
        </is>
      </c>
      <c r="F93" s="4" t="inlineStr">
        <is>
          <t>Full-Time</t>
        </is>
      </c>
      <c r="G93" s="4" t="inlineStr">
        <is>
          <t>2019-02-13</t>
        </is>
      </c>
      <c r="H93" s="4" t="n">
        <v>23</v>
      </c>
      <c r="I93" s="4" t="inlineStr">
        <is>
          <t>PhD</t>
        </is>
      </c>
      <c r="J93" s="4" t="inlineStr">
        <is>
          <t>Surabaya</t>
        </is>
      </c>
      <c r="K93" s="5" t="n">
        <v>30809255</v>
      </c>
      <c r="L93" s="4" t="n">
        <v>4</v>
      </c>
      <c r="M93" s="4" t="n">
        <v>5</v>
      </c>
      <c r="N93" s="4" t="inlineStr">
        <is>
          <t>Active</t>
        </is>
      </c>
    </row>
    <row r="94">
      <c r="A94" s="2" t="inlineStr">
        <is>
          <t>EMP0093</t>
        </is>
      </c>
      <c r="B94" s="2" t="inlineStr">
        <is>
          <t>Dewi Hidayat</t>
        </is>
      </c>
      <c r="C94" s="2" t="inlineStr">
        <is>
          <t>Female</t>
        </is>
      </c>
      <c r="D94" s="2" t="inlineStr">
        <is>
          <t>Finance</t>
        </is>
      </c>
      <c r="E94" s="2" t="inlineStr">
        <is>
          <t>Junior</t>
        </is>
      </c>
      <c r="F94" s="2" t="inlineStr">
        <is>
          <t>Full-Time</t>
        </is>
      </c>
      <c r="G94" s="2" t="inlineStr">
        <is>
          <t>2021-09-03</t>
        </is>
      </c>
      <c r="H94" s="2" t="n">
        <v>47</v>
      </c>
      <c r="I94" s="2" t="inlineStr">
        <is>
          <t>Master</t>
        </is>
      </c>
      <c r="J94" s="2" t="inlineStr">
        <is>
          <t>Makassar</t>
        </is>
      </c>
      <c r="K94" s="3" t="n">
        <v>5909269</v>
      </c>
      <c r="L94" s="2" t="n">
        <v>3.3</v>
      </c>
      <c r="M94" s="2" t="n">
        <v>3</v>
      </c>
      <c r="N94" s="2" t="inlineStr">
        <is>
          <t>Active</t>
        </is>
      </c>
    </row>
    <row r="95">
      <c r="A95" s="4" t="inlineStr">
        <is>
          <t>EMP0094</t>
        </is>
      </c>
      <c r="B95" s="4" t="inlineStr">
        <is>
          <t>Bagas Utama</t>
        </is>
      </c>
      <c r="C95" s="4" t="inlineStr">
        <is>
          <t>Male</t>
        </is>
      </c>
      <c r="D95" s="4" t="inlineStr">
        <is>
          <t>Sales</t>
        </is>
      </c>
      <c r="E95" s="4" t="inlineStr">
        <is>
          <t>Senior</t>
        </is>
      </c>
      <c r="F95" s="4" t="inlineStr">
        <is>
          <t>Part-Time</t>
        </is>
      </c>
      <c r="G95" s="4" t="inlineStr">
        <is>
          <t>2017-04-04</t>
        </is>
      </c>
      <c r="H95" s="4" t="n">
        <v>31</v>
      </c>
      <c r="I95" s="4" t="inlineStr">
        <is>
          <t>Bachelor</t>
        </is>
      </c>
      <c r="J95" s="4" t="inlineStr">
        <is>
          <t>Surabaya</t>
        </is>
      </c>
      <c r="K95" s="5" t="n">
        <v>9455397</v>
      </c>
      <c r="L95" s="4" t="n">
        <v>4.4</v>
      </c>
      <c r="M95" s="4" t="n">
        <v>7</v>
      </c>
      <c r="N95" s="4" t="inlineStr">
        <is>
          <t>Active</t>
        </is>
      </c>
    </row>
    <row r="96">
      <c r="A96" s="2" t="inlineStr">
        <is>
          <t>EMP0095</t>
        </is>
      </c>
      <c r="B96" s="2" t="inlineStr">
        <is>
          <t>Arif Susanto</t>
        </is>
      </c>
      <c r="C96" s="2" t="inlineStr">
        <is>
          <t>Male</t>
        </is>
      </c>
      <c r="D96" s="2" t="inlineStr">
        <is>
          <t>R&amp;D</t>
        </is>
      </c>
      <c r="E96" s="2" t="inlineStr">
        <is>
          <t>Director</t>
        </is>
      </c>
      <c r="F96" s="2" t="inlineStr">
        <is>
          <t>Contract</t>
        </is>
      </c>
      <c r="G96" s="2" t="inlineStr">
        <is>
          <t>2020-11-11</t>
        </is>
      </c>
      <c r="H96" s="2" t="n">
        <v>31</v>
      </c>
      <c r="I96" s="2" t="inlineStr">
        <is>
          <t>Bachelor</t>
        </is>
      </c>
      <c r="J96" s="2" t="inlineStr">
        <is>
          <t>Medan</t>
        </is>
      </c>
      <c r="K96" s="3" t="n">
        <v>28295456</v>
      </c>
      <c r="L96" s="2" t="n">
        <v>3.3</v>
      </c>
      <c r="M96" s="2" t="n">
        <v>4</v>
      </c>
      <c r="N96" s="2" t="inlineStr">
        <is>
          <t>Active</t>
        </is>
      </c>
    </row>
    <row r="97">
      <c r="A97" s="4" t="inlineStr">
        <is>
          <t>EMP0096</t>
        </is>
      </c>
      <c r="B97" s="4" t="inlineStr">
        <is>
          <t>Hendra Wijaya</t>
        </is>
      </c>
      <c r="C97" s="4" t="inlineStr">
        <is>
          <t>Male</t>
        </is>
      </c>
      <c r="D97" s="4" t="inlineStr">
        <is>
          <t>IT</t>
        </is>
      </c>
      <c r="E97" s="4" t="inlineStr">
        <is>
          <t>Supervisor</t>
        </is>
      </c>
      <c r="F97" s="4" t="inlineStr">
        <is>
          <t>Full-Time</t>
        </is>
      </c>
      <c r="G97" s="4" t="inlineStr">
        <is>
          <t>2015-06-27</t>
        </is>
      </c>
      <c r="H97" s="4" t="n">
        <v>40</v>
      </c>
      <c r="I97" s="4" t="inlineStr">
        <is>
          <t>Diploma</t>
        </is>
      </c>
      <c r="J97" s="4" t="inlineStr">
        <is>
          <t>Semarang</t>
        </is>
      </c>
      <c r="K97" s="5" t="n">
        <v>13732105</v>
      </c>
      <c r="L97" s="4" t="n">
        <v>2.7</v>
      </c>
      <c r="M97" s="4" t="n">
        <v>9</v>
      </c>
      <c r="N97" s="4" t="inlineStr">
        <is>
          <t>Active</t>
        </is>
      </c>
    </row>
    <row r="98">
      <c r="A98" s="2" t="inlineStr">
        <is>
          <t>EMP0097</t>
        </is>
      </c>
      <c r="B98" s="2" t="inlineStr">
        <is>
          <t>Maya Santoso</t>
        </is>
      </c>
      <c r="C98" s="2" t="inlineStr">
        <is>
          <t>Female</t>
        </is>
      </c>
      <c r="D98" s="2" t="inlineStr">
        <is>
          <t>R&amp;D</t>
        </is>
      </c>
      <c r="E98" s="2" t="inlineStr">
        <is>
          <t>Manager</t>
        </is>
      </c>
      <c r="F98" s="2" t="inlineStr">
        <is>
          <t>Full-Time</t>
        </is>
      </c>
      <c r="G98" s="2" t="inlineStr">
        <is>
          <t>2020-10-16</t>
        </is>
      </c>
      <c r="H98" s="2" t="n">
        <v>54</v>
      </c>
      <c r="I98" s="2" t="inlineStr">
        <is>
          <t>Bachelor</t>
        </is>
      </c>
      <c r="J98" s="2" t="inlineStr">
        <is>
          <t>Jakarta</t>
        </is>
      </c>
      <c r="K98" s="3" t="n">
        <v>18227353</v>
      </c>
      <c r="L98" s="2" t="n">
        <v>4.5</v>
      </c>
      <c r="M98" s="2" t="n">
        <v>4</v>
      </c>
      <c r="N98" s="2" t="inlineStr">
        <is>
          <t>Active</t>
        </is>
      </c>
    </row>
    <row r="99">
      <c r="A99" s="4" t="inlineStr">
        <is>
          <t>EMP0098</t>
        </is>
      </c>
      <c r="B99" s="4" t="inlineStr">
        <is>
          <t>Bagas Pratama</t>
        </is>
      </c>
      <c r="C99" s="4" t="inlineStr">
        <is>
          <t>Male</t>
        </is>
      </c>
      <c r="D99" s="4" t="inlineStr">
        <is>
          <t>Operations</t>
        </is>
      </c>
      <c r="E99" s="4" t="inlineStr">
        <is>
          <t>Junior</t>
        </is>
      </c>
      <c r="F99" s="4" t="inlineStr">
        <is>
          <t>Part-Time</t>
        </is>
      </c>
      <c r="G99" s="4" t="inlineStr">
        <is>
          <t>2022-09-17</t>
        </is>
      </c>
      <c r="H99" s="4" t="n">
        <v>32</v>
      </c>
      <c r="I99" s="4" t="inlineStr">
        <is>
          <t>Bachelor</t>
        </is>
      </c>
      <c r="J99" s="4" t="inlineStr">
        <is>
          <t>Bandung</t>
        </is>
      </c>
      <c r="K99" s="5" t="n">
        <v>5981124</v>
      </c>
      <c r="L99" s="4" t="n">
        <v>4.4</v>
      </c>
      <c r="M99" s="4" t="n">
        <v>2</v>
      </c>
      <c r="N99" s="4" t="inlineStr">
        <is>
          <t>Active</t>
        </is>
      </c>
    </row>
    <row r="100">
      <c r="A100" s="2" t="inlineStr">
        <is>
          <t>EMP0099</t>
        </is>
      </c>
      <c r="B100" s="2" t="inlineStr">
        <is>
          <t>Hendra Wijaya</t>
        </is>
      </c>
      <c r="C100" s="2" t="inlineStr">
        <is>
          <t>Male</t>
        </is>
      </c>
      <c r="D100" s="2" t="inlineStr">
        <is>
          <t>Sales</t>
        </is>
      </c>
      <c r="E100" s="2" t="inlineStr">
        <is>
          <t>Staff</t>
        </is>
      </c>
      <c r="F100" s="2" t="inlineStr">
        <is>
          <t>Full-Time</t>
        </is>
      </c>
      <c r="G100" s="2" t="inlineStr">
        <is>
          <t>2021-05-09</t>
        </is>
      </c>
      <c r="H100" s="2" t="n">
        <v>31</v>
      </c>
      <c r="I100" s="2" t="inlineStr">
        <is>
          <t>Bachelor</t>
        </is>
      </c>
      <c r="J100" s="2" t="inlineStr">
        <is>
          <t>Bali</t>
        </is>
      </c>
      <c r="K100" s="3" t="n">
        <v>4796563</v>
      </c>
      <c r="L100" s="2" t="n">
        <v>4.8</v>
      </c>
      <c r="M100" s="2" t="n">
        <v>3</v>
      </c>
      <c r="N100" s="2" t="inlineStr">
        <is>
          <t>Active</t>
        </is>
      </c>
    </row>
    <row r="101">
      <c r="A101" s="4" t="inlineStr">
        <is>
          <t>EMP0100</t>
        </is>
      </c>
      <c r="B101" s="4" t="inlineStr">
        <is>
          <t>Rina Wijaya</t>
        </is>
      </c>
      <c r="C101" s="4" t="inlineStr">
        <is>
          <t>Female</t>
        </is>
      </c>
      <c r="D101" s="4" t="inlineStr">
        <is>
          <t>IT</t>
        </is>
      </c>
      <c r="E101" s="4" t="inlineStr">
        <is>
          <t>Manager</t>
        </is>
      </c>
      <c r="F101" s="4" t="inlineStr">
        <is>
          <t>Full-Time</t>
        </is>
      </c>
      <c r="G101" s="4" t="inlineStr">
        <is>
          <t>2020-03-22</t>
        </is>
      </c>
      <c r="H101" s="4" t="n">
        <v>55</v>
      </c>
      <c r="I101" s="4" t="inlineStr">
        <is>
          <t>Diploma</t>
        </is>
      </c>
      <c r="J101" s="4" t="inlineStr">
        <is>
          <t>Makassar</t>
        </is>
      </c>
      <c r="K101" s="5" t="n">
        <v>18105328</v>
      </c>
      <c r="L101" s="4" t="n">
        <v>3.4</v>
      </c>
      <c r="M101" s="4" t="n">
        <v>4</v>
      </c>
      <c r="N101" s="4" t="inlineStr">
        <is>
          <t>Active</t>
        </is>
      </c>
    </row>
    <row r="102">
      <c r="A102" s="2" t="inlineStr">
        <is>
          <t>EMP0101</t>
        </is>
      </c>
      <c r="B102" s="2" t="inlineStr">
        <is>
          <t>Fajar Rahmat</t>
        </is>
      </c>
      <c r="C102" s="2" t="inlineStr">
        <is>
          <t>Male</t>
        </is>
      </c>
      <c r="D102" s="2" t="inlineStr">
        <is>
          <t>R&amp;D</t>
        </is>
      </c>
      <c r="E102" s="2" t="inlineStr">
        <is>
          <t>Junior</t>
        </is>
      </c>
      <c r="F102" s="2" t="inlineStr">
        <is>
          <t>Full-Time</t>
        </is>
      </c>
      <c r="G102" s="2" t="inlineStr">
        <is>
          <t>2017-03-03</t>
        </is>
      </c>
      <c r="H102" s="2" t="n">
        <v>40</v>
      </c>
      <c r="I102" s="2" t="inlineStr">
        <is>
          <t>Master</t>
        </is>
      </c>
      <c r="J102" s="2" t="inlineStr">
        <is>
          <t>Jakarta</t>
        </is>
      </c>
      <c r="K102" s="3" t="n">
        <v>6161534</v>
      </c>
      <c r="L102" s="2" t="n">
        <v>3.8</v>
      </c>
      <c r="M102" s="2" t="n">
        <v>7</v>
      </c>
      <c r="N102" s="2" t="inlineStr">
        <is>
          <t>Active</t>
        </is>
      </c>
    </row>
    <row r="103">
      <c r="A103" s="4" t="inlineStr">
        <is>
          <t>EMP0102</t>
        </is>
      </c>
      <c r="B103" s="4" t="inlineStr">
        <is>
          <t>Hendra Pratama</t>
        </is>
      </c>
      <c r="C103" s="4" t="inlineStr">
        <is>
          <t>Male</t>
        </is>
      </c>
      <c r="D103" s="4" t="inlineStr">
        <is>
          <t>Legal</t>
        </is>
      </c>
      <c r="E103" s="4" t="inlineStr">
        <is>
          <t>Junior</t>
        </is>
      </c>
      <c r="F103" s="4" t="inlineStr">
        <is>
          <t>Full-Time</t>
        </is>
      </c>
      <c r="G103" s="4" t="inlineStr">
        <is>
          <t>2017-12-15</t>
        </is>
      </c>
      <c r="H103" s="4" t="n">
        <v>24</v>
      </c>
      <c r="I103" s="4" t="inlineStr">
        <is>
          <t>Bachelor</t>
        </is>
      </c>
      <c r="J103" s="4" t="inlineStr">
        <is>
          <t>Makassar</t>
        </is>
      </c>
      <c r="K103" s="5" t="n">
        <v>6479378</v>
      </c>
      <c r="L103" s="4" t="n">
        <v>4.9</v>
      </c>
      <c r="M103" s="4" t="n">
        <v>7</v>
      </c>
      <c r="N103" s="4" t="inlineStr">
        <is>
          <t>Active</t>
        </is>
      </c>
    </row>
    <row r="104">
      <c r="A104" s="2" t="inlineStr">
        <is>
          <t>EMP0103</t>
        </is>
      </c>
      <c r="B104" s="2" t="inlineStr">
        <is>
          <t>Lina Utama</t>
        </is>
      </c>
      <c r="C104" s="2" t="inlineStr">
        <is>
          <t>Female</t>
        </is>
      </c>
      <c r="D104" s="2" t="inlineStr">
        <is>
          <t>IT</t>
        </is>
      </c>
      <c r="E104" s="2" t="inlineStr">
        <is>
          <t>Supervisor</t>
        </is>
      </c>
      <c r="F104" s="2" t="inlineStr">
        <is>
          <t>Contract</t>
        </is>
      </c>
      <c r="G104" s="2" t="inlineStr">
        <is>
          <t>2018-06-22</t>
        </is>
      </c>
      <c r="H104" s="2" t="n">
        <v>58</v>
      </c>
      <c r="I104" s="2" t="inlineStr">
        <is>
          <t>PhD</t>
        </is>
      </c>
      <c r="J104" s="2" t="inlineStr">
        <is>
          <t>Medan</t>
        </is>
      </c>
      <c r="K104" s="3" t="n">
        <v>13108315</v>
      </c>
      <c r="L104" s="2" t="n">
        <v>4.4</v>
      </c>
      <c r="M104" s="2" t="n">
        <v>6</v>
      </c>
      <c r="N104" s="2" t="inlineStr">
        <is>
          <t>Active</t>
        </is>
      </c>
    </row>
    <row r="105">
      <c r="A105" s="4" t="inlineStr">
        <is>
          <t>EMP0104</t>
        </is>
      </c>
      <c r="B105" s="4" t="inlineStr">
        <is>
          <t>Rina Utama</t>
        </is>
      </c>
      <c r="C105" s="4" t="inlineStr">
        <is>
          <t>Female</t>
        </is>
      </c>
      <c r="D105" s="4" t="inlineStr">
        <is>
          <t>HR</t>
        </is>
      </c>
      <c r="E105" s="4" t="inlineStr">
        <is>
          <t>Senior</t>
        </is>
      </c>
      <c r="F105" s="4" t="inlineStr">
        <is>
          <t>Full-Time</t>
        </is>
      </c>
      <c r="G105" s="4" t="inlineStr">
        <is>
          <t>2022-06-18</t>
        </is>
      </c>
      <c r="H105" s="4" t="n">
        <v>28</v>
      </c>
      <c r="I105" s="4" t="inlineStr">
        <is>
          <t>Master</t>
        </is>
      </c>
      <c r="J105" s="4" t="inlineStr">
        <is>
          <t>Bali</t>
        </is>
      </c>
      <c r="K105" s="5" t="n">
        <v>10015123</v>
      </c>
      <c r="L105" s="4" t="n">
        <v>3.2</v>
      </c>
      <c r="M105" s="4" t="n">
        <v>2</v>
      </c>
      <c r="N105" s="4" t="inlineStr">
        <is>
          <t>Active</t>
        </is>
      </c>
    </row>
    <row r="106">
      <c r="A106" s="2" t="inlineStr">
        <is>
          <t>EMP0105</t>
        </is>
      </c>
      <c r="B106" s="2" t="inlineStr">
        <is>
          <t>Maya Pratama</t>
        </is>
      </c>
      <c r="C106" s="2" t="inlineStr">
        <is>
          <t>Female</t>
        </is>
      </c>
      <c r="D106" s="2" t="inlineStr">
        <is>
          <t>Legal</t>
        </is>
      </c>
      <c r="E106" s="2" t="inlineStr">
        <is>
          <t>Staff</t>
        </is>
      </c>
      <c r="F106" s="2" t="inlineStr">
        <is>
          <t>Contract</t>
        </is>
      </c>
      <c r="G106" s="2" t="inlineStr">
        <is>
          <t>2018-08-12</t>
        </is>
      </c>
      <c r="H106" s="2" t="n">
        <v>23</v>
      </c>
      <c r="I106" s="2" t="inlineStr">
        <is>
          <t>Bachelor</t>
        </is>
      </c>
      <c r="J106" s="2" t="inlineStr">
        <is>
          <t>Medan</t>
        </is>
      </c>
      <c r="K106" s="3" t="n">
        <v>4614758</v>
      </c>
      <c r="L106" s="2" t="n">
        <v>3.1</v>
      </c>
      <c r="M106" s="2" t="n">
        <v>6</v>
      </c>
      <c r="N106" s="2" t="inlineStr">
        <is>
          <t>Inactive</t>
        </is>
      </c>
    </row>
    <row r="107">
      <c r="A107" s="4" t="inlineStr">
        <is>
          <t>EMP0106</t>
        </is>
      </c>
      <c r="B107" s="4" t="inlineStr">
        <is>
          <t>Lina Santoso</t>
        </is>
      </c>
      <c r="C107" s="4" t="inlineStr">
        <is>
          <t>Female</t>
        </is>
      </c>
      <c r="D107" s="4" t="inlineStr">
        <is>
          <t>Sales</t>
        </is>
      </c>
      <c r="E107" s="4" t="inlineStr">
        <is>
          <t>Staff</t>
        </is>
      </c>
      <c r="F107" s="4" t="inlineStr">
        <is>
          <t>Part-Time</t>
        </is>
      </c>
      <c r="G107" s="4" t="inlineStr">
        <is>
          <t>2020-03-05</t>
        </is>
      </c>
      <c r="H107" s="4" t="n">
        <v>24</v>
      </c>
      <c r="I107" s="4" t="inlineStr">
        <is>
          <t>Bachelor</t>
        </is>
      </c>
      <c r="J107" s="4" t="inlineStr">
        <is>
          <t>Semarang</t>
        </is>
      </c>
      <c r="K107" s="5" t="n">
        <v>4581511</v>
      </c>
      <c r="L107" s="4" t="n">
        <v>4.6</v>
      </c>
      <c r="M107" s="4" t="n">
        <v>4</v>
      </c>
      <c r="N107" s="4" t="inlineStr">
        <is>
          <t>Active</t>
        </is>
      </c>
    </row>
    <row r="108">
      <c r="A108" s="2" t="inlineStr">
        <is>
          <t>EMP0107</t>
        </is>
      </c>
      <c r="B108" s="2" t="inlineStr">
        <is>
          <t>Maya Santoso</t>
        </is>
      </c>
      <c r="C108" s="2" t="inlineStr">
        <is>
          <t>Female</t>
        </is>
      </c>
      <c r="D108" s="2" t="inlineStr">
        <is>
          <t>Finance</t>
        </is>
      </c>
      <c r="E108" s="2" t="inlineStr">
        <is>
          <t>Staff</t>
        </is>
      </c>
      <c r="F108" s="2" t="inlineStr">
        <is>
          <t>Full-Time</t>
        </is>
      </c>
      <c r="G108" s="2" t="inlineStr">
        <is>
          <t>2017-09-24</t>
        </is>
      </c>
      <c r="H108" s="2" t="n">
        <v>55</v>
      </c>
      <c r="I108" s="2" t="inlineStr">
        <is>
          <t>Bachelor</t>
        </is>
      </c>
      <c r="J108" s="2" t="inlineStr">
        <is>
          <t>Semarang</t>
        </is>
      </c>
      <c r="K108" s="3" t="n">
        <v>4374114</v>
      </c>
      <c r="L108" s="2" t="n">
        <v>3.3</v>
      </c>
      <c r="M108" s="2" t="n">
        <v>7</v>
      </c>
      <c r="N108" s="2" t="inlineStr">
        <is>
          <t>Active</t>
        </is>
      </c>
    </row>
    <row r="109">
      <c r="A109" s="4" t="inlineStr">
        <is>
          <t>EMP0108</t>
        </is>
      </c>
      <c r="B109" s="4" t="inlineStr">
        <is>
          <t>Dina Susanto</t>
        </is>
      </c>
      <c r="C109" s="4" t="inlineStr">
        <is>
          <t>Female</t>
        </is>
      </c>
      <c r="D109" s="4" t="inlineStr">
        <is>
          <t>Finance</t>
        </is>
      </c>
      <c r="E109" s="4" t="inlineStr">
        <is>
          <t>Staff</t>
        </is>
      </c>
      <c r="F109" s="4" t="inlineStr">
        <is>
          <t>Part-Time</t>
        </is>
      </c>
      <c r="G109" s="4" t="inlineStr">
        <is>
          <t>2022-10-18</t>
        </is>
      </c>
      <c r="H109" s="4" t="n">
        <v>23</v>
      </c>
      <c r="I109" s="4" t="inlineStr">
        <is>
          <t>Bachelor</t>
        </is>
      </c>
      <c r="J109" s="4" t="inlineStr">
        <is>
          <t>Bali</t>
        </is>
      </c>
      <c r="K109" s="5" t="n">
        <v>4322180</v>
      </c>
      <c r="L109" s="4" t="n">
        <v>2.9</v>
      </c>
      <c r="M109" s="4" t="n">
        <v>2</v>
      </c>
      <c r="N109" s="4" t="inlineStr">
        <is>
          <t>Active</t>
        </is>
      </c>
    </row>
    <row r="110">
      <c r="A110" s="2" t="inlineStr">
        <is>
          <t>EMP0109</t>
        </is>
      </c>
      <c r="B110" s="2" t="inlineStr">
        <is>
          <t>Lina Hidayat</t>
        </is>
      </c>
      <c r="C110" s="2" t="inlineStr">
        <is>
          <t>Female</t>
        </is>
      </c>
      <c r="D110" s="2" t="inlineStr">
        <is>
          <t>HR</t>
        </is>
      </c>
      <c r="E110" s="2" t="inlineStr">
        <is>
          <t>Director</t>
        </is>
      </c>
      <c r="F110" s="2" t="inlineStr">
        <is>
          <t>Full-Time</t>
        </is>
      </c>
      <c r="G110" s="2" t="inlineStr">
        <is>
          <t>2023-06-03</t>
        </is>
      </c>
      <c r="H110" s="2" t="n">
        <v>55</v>
      </c>
      <c r="I110" s="2" t="inlineStr">
        <is>
          <t>Bachelor</t>
        </is>
      </c>
      <c r="J110" s="2" t="inlineStr">
        <is>
          <t>Semarang</t>
        </is>
      </c>
      <c r="K110" s="3" t="n">
        <v>32118320</v>
      </c>
      <c r="L110" s="2" t="n">
        <v>3.9</v>
      </c>
      <c r="M110" s="2" t="n">
        <v>1</v>
      </c>
      <c r="N110" s="2" t="inlineStr">
        <is>
          <t>Active</t>
        </is>
      </c>
    </row>
    <row r="111">
      <c r="A111" s="4" t="inlineStr">
        <is>
          <t>EMP0110</t>
        </is>
      </c>
      <c r="B111" s="4" t="inlineStr">
        <is>
          <t>Sari Hidayat</t>
        </is>
      </c>
      <c r="C111" s="4" t="inlineStr">
        <is>
          <t>Female</t>
        </is>
      </c>
      <c r="D111" s="4" t="inlineStr">
        <is>
          <t>Sales</t>
        </is>
      </c>
      <c r="E111" s="4" t="inlineStr">
        <is>
          <t>Senior</t>
        </is>
      </c>
      <c r="F111" s="4" t="inlineStr">
        <is>
          <t>Part-Time</t>
        </is>
      </c>
      <c r="G111" s="4" t="inlineStr">
        <is>
          <t>2020-02-12</t>
        </is>
      </c>
      <c r="H111" s="4" t="n">
        <v>37</v>
      </c>
      <c r="I111" s="4" t="inlineStr">
        <is>
          <t>Master</t>
        </is>
      </c>
      <c r="J111" s="4" t="inlineStr">
        <is>
          <t>Makassar</t>
        </is>
      </c>
      <c r="K111" s="5" t="n">
        <v>8333243</v>
      </c>
      <c r="L111" s="4" t="n">
        <v>4</v>
      </c>
      <c r="M111" s="4" t="n">
        <v>4</v>
      </c>
      <c r="N111" s="4" t="inlineStr">
        <is>
          <t>Active</t>
        </is>
      </c>
    </row>
    <row r="112">
      <c r="A112" s="2" t="inlineStr">
        <is>
          <t>EMP0111</t>
        </is>
      </c>
      <c r="B112" s="2" t="inlineStr">
        <is>
          <t>Budi Rahmat</t>
        </is>
      </c>
      <c r="C112" s="2" t="inlineStr">
        <is>
          <t>Male</t>
        </is>
      </c>
      <c r="D112" s="2" t="inlineStr">
        <is>
          <t>Sales</t>
        </is>
      </c>
      <c r="E112" s="2" t="inlineStr">
        <is>
          <t>Director</t>
        </is>
      </c>
      <c r="F112" s="2" t="inlineStr">
        <is>
          <t>Full-Time</t>
        </is>
      </c>
      <c r="G112" s="2" t="inlineStr">
        <is>
          <t>2022-12-16</t>
        </is>
      </c>
      <c r="H112" s="2" t="n">
        <v>33</v>
      </c>
      <c r="I112" s="2" t="inlineStr">
        <is>
          <t>Master</t>
        </is>
      </c>
      <c r="J112" s="2" t="inlineStr">
        <is>
          <t>Jakarta</t>
        </is>
      </c>
      <c r="K112" s="3" t="n">
        <v>30212315</v>
      </c>
      <c r="L112" s="2" t="n">
        <v>4.9</v>
      </c>
      <c r="M112" s="2" t="n">
        <v>2</v>
      </c>
      <c r="N112" s="2" t="inlineStr">
        <is>
          <t>Active</t>
        </is>
      </c>
    </row>
    <row r="113">
      <c r="A113" s="4" t="inlineStr">
        <is>
          <t>EMP0112</t>
        </is>
      </c>
      <c r="B113" s="4" t="inlineStr">
        <is>
          <t>Budi Utama</t>
        </is>
      </c>
      <c r="C113" s="4" t="inlineStr">
        <is>
          <t>Male</t>
        </is>
      </c>
      <c r="D113" s="4" t="inlineStr">
        <is>
          <t>Operations</t>
        </is>
      </c>
      <c r="E113" s="4" t="inlineStr">
        <is>
          <t>Senior</t>
        </is>
      </c>
      <c r="F113" s="4" t="inlineStr">
        <is>
          <t>Contract</t>
        </is>
      </c>
      <c r="G113" s="4" t="inlineStr">
        <is>
          <t>2023-07-27</t>
        </is>
      </c>
      <c r="H113" s="4" t="n">
        <v>56</v>
      </c>
      <c r="I113" s="4" t="inlineStr">
        <is>
          <t>Bachelor</t>
        </is>
      </c>
      <c r="J113" s="4" t="inlineStr">
        <is>
          <t>Jakarta</t>
        </is>
      </c>
      <c r="K113" s="5" t="n">
        <v>9794904</v>
      </c>
      <c r="L113" s="4" t="n">
        <v>3</v>
      </c>
      <c r="M113" s="4" t="n">
        <v>1</v>
      </c>
      <c r="N113" s="4" t="inlineStr">
        <is>
          <t>Active</t>
        </is>
      </c>
    </row>
    <row r="114">
      <c r="A114" s="2" t="inlineStr">
        <is>
          <t>EMP0113</t>
        </is>
      </c>
      <c r="B114" s="2" t="inlineStr">
        <is>
          <t>Hendra Kusuma</t>
        </is>
      </c>
      <c r="C114" s="2" t="inlineStr">
        <is>
          <t>Male</t>
        </is>
      </c>
      <c r="D114" s="2" t="inlineStr">
        <is>
          <t>Finance</t>
        </is>
      </c>
      <c r="E114" s="2" t="inlineStr">
        <is>
          <t>Senior</t>
        </is>
      </c>
      <c r="F114" s="2" t="inlineStr">
        <is>
          <t>Full-Time</t>
        </is>
      </c>
      <c r="G114" s="2" t="inlineStr">
        <is>
          <t>2021-12-15</t>
        </is>
      </c>
      <c r="H114" s="2" t="n">
        <v>46</v>
      </c>
      <c r="I114" s="2" t="inlineStr">
        <is>
          <t>Bachelor</t>
        </is>
      </c>
      <c r="J114" s="2" t="inlineStr">
        <is>
          <t>Surabaya</t>
        </is>
      </c>
      <c r="K114" s="3" t="n">
        <v>9216457</v>
      </c>
      <c r="L114" s="2" t="n">
        <v>3.7</v>
      </c>
      <c r="M114" s="2" t="n">
        <v>3</v>
      </c>
      <c r="N114" s="2" t="inlineStr">
        <is>
          <t>Inactive</t>
        </is>
      </c>
    </row>
    <row r="115">
      <c r="A115" s="4" t="inlineStr">
        <is>
          <t>EMP0114</t>
        </is>
      </c>
      <c r="B115" s="4" t="inlineStr">
        <is>
          <t>Dewi Hidayat</t>
        </is>
      </c>
      <c r="C115" s="4" t="inlineStr">
        <is>
          <t>Female</t>
        </is>
      </c>
      <c r="D115" s="4" t="inlineStr">
        <is>
          <t>Finance</t>
        </is>
      </c>
      <c r="E115" s="4" t="inlineStr">
        <is>
          <t>Supervisor</t>
        </is>
      </c>
      <c r="F115" s="4" t="inlineStr">
        <is>
          <t>Full-Time</t>
        </is>
      </c>
      <c r="G115" s="4" t="inlineStr">
        <is>
          <t>2017-09-10</t>
        </is>
      </c>
      <c r="H115" s="4" t="n">
        <v>42</v>
      </c>
      <c r="I115" s="4" t="inlineStr">
        <is>
          <t>Diploma</t>
        </is>
      </c>
      <c r="J115" s="4" t="inlineStr">
        <is>
          <t>Bandung</t>
        </is>
      </c>
      <c r="K115" s="5" t="n">
        <v>12782757</v>
      </c>
      <c r="L115" s="4" t="n">
        <v>3.3</v>
      </c>
      <c r="M115" s="4" t="n">
        <v>7</v>
      </c>
      <c r="N115" s="4" t="inlineStr">
        <is>
          <t>Active</t>
        </is>
      </c>
    </row>
    <row r="116">
      <c r="A116" s="2" t="inlineStr">
        <is>
          <t>EMP0115</t>
        </is>
      </c>
      <c r="B116" s="2" t="inlineStr">
        <is>
          <t>Rina Susanto</t>
        </is>
      </c>
      <c r="C116" s="2" t="inlineStr">
        <is>
          <t>Female</t>
        </is>
      </c>
      <c r="D116" s="2" t="inlineStr">
        <is>
          <t>Sales</t>
        </is>
      </c>
      <c r="E116" s="2" t="inlineStr">
        <is>
          <t>Supervisor</t>
        </is>
      </c>
      <c r="F116" s="2" t="inlineStr">
        <is>
          <t>Full-Time</t>
        </is>
      </c>
      <c r="G116" s="2" t="inlineStr">
        <is>
          <t>2020-10-14</t>
        </is>
      </c>
      <c r="H116" s="2" t="n">
        <v>39</v>
      </c>
      <c r="I116" s="2" t="inlineStr">
        <is>
          <t>Bachelor</t>
        </is>
      </c>
      <c r="J116" s="2" t="inlineStr">
        <is>
          <t>Semarang</t>
        </is>
      </c>
      <c r="K116" s="3" t="n">
        <v>13643713</v>
      </c>
      <c r="L116" s="2" t="n">
        <v>2.7</v>
      </c>
      <c r="M116" s="2" t="n">
        <v>4</v>
      </c>
      <c r="N116" s="2" t="inlineStr">
        <is>
          <t>Active</t>
        </is>
      </c>
    </row>
    <row r="117">
      <c r="A117" s="4" t="inlineStr">
        <is>
          <t>EMP0116</t>
        </is>
      </c>
      <c r="B117" s="4" t="inlineStr">
        <is>
          <t>Wulan Pratama</t>
        </is>
      </c>
      <c r="C117" s="4" t="inlineStr">
        <is>
          <t>Female</t>
        </is>
      </c>
      <c r="D117" s="4" t="inlineStr">
        <is>
          <t>Operations</t>
        </is>
      </c>
      <c r="E117" s="4" t="inlineStr">
        <is>
          <t>Junior</t>
        </is>
      </c>
      <c r="F117" s="4" t="inlineStr">
        <is>
          <t>Part-Time</t>
        </is>
      </c>
      <c r="G117" s="4" t="inlineStr">
        <is>
          <t>2022-01-05</t>
        </is>
      </c>
      <c r="H117" s="4" t="n">
        <v>26</v>
      </c>
      <c r="I117" s="4" t="inlineStr">
        <is>
          <t>Bachelor</t>
        </is>
      </c>
      <c r="J117" s="4" t="inlineStr">
        <is>
          <t>Makassar</t>
        </is>
      </c>
      <c r="K117" s="5" t="n">
        <v>5949492</v>
      </c>
      <c r="L117" s="4" t="n">
        <v>3.5</v>
      </c>
      <c r="M117" s="4" t="n">
        <v>2</v>
      </c>
      <c r="N117" s="4" t="inlineStr">
        <is>
          <t>Active</t>
        </is>
      </c>
    </row>
    <row r="118">
      <c r="A118" s="2" t="inlineStr">
        <is>
          <t>EMP0117</t>
        </is>
      </c>
      <c r="B118" s="2" t="inlineStr">
        <is>
          <t>Arif Rahmat</t>
        </is>
      </c>
      <c r="C118" s="2" t="inlineStr">
        <is>
          <t>Male</t>
        </is>
      </c>
      <c r="D118" s="2" t="inlineStr">
        <is>
          <t>Sales</t>
        </is>
      </c>
      <c r="E118" s="2" t="inlineStr">
        <is>
          <t>Supervisor</t>
        </is>
      </c>
      <c r="F118" s="2" t="inlineStr">
        <is>
          <t>Part-Time</t>
        </is>
      </c>
      <c r="G118" s="2" t="inlineStr">
        <is>
          <t>2017-09-12</t>
        </is>
      </c>
      <c r="H118" s="2" t="n">
        <v>47</v>
      </c>
      <c r="I118" s="2" t="inlineStr">
        <is>
          <t>Bachelor</t>
        </is>
      </c>
      <c r="J118" s="2" t="inlineStr">
        <is>
          <t>Bandung</t>
        </is>
      </c>
      <c r="K118" s="3" t="n">
        <v>11548834</v>
      </c>
      <c r="L118" s="2" t="n">
        <v>2.8</v>
      </c>
      <c r="M118" s="2" t="n">
        <v>7</v>
      </c>
      <c r="N118" s="2" t="inlineStr">
        <is>
          <t>Active</t>
        </is>
      </c>
    </row>
    <row r="119">
      <c r="A119" s="4" t="inlineStr">
        <is>
          <t>EMP0118</t>
        </is>
      </c>
      <c r="B119" s="4" t="inlineStr">
        <is>
          <t>Wulan Hidayat</t>
        </is>
      </c>
      <c r="C119" s="4" t="inlineStr">
        <is>
          <t>Female</t>
        </is>
      </c>
      <c r="D119" s="4" t="inlineStr">
        <is>
          <t>Finance</t>
        </is>
      </c>
      <c r="E119" s="4" t="inlineStr">
        <is>
          <t>Senior</t>
        </is>
      </c>
      <c r="F119" s="4" t="inlineStr">
        <is>
          <t>Part-Time</t>
        </is>
      </c>
      <c r="G119" s="4" t="inlineStr">
        <is>
          <t>2022-04-20</t>
        </is>
      </c>
      <c r="H119" s="4" t="n">
        <v>40</v>
      </c>
      <c r="I119" s="4" t="inlineStr">
        <is>
          <t>Master</t>
        </is>
      </c>
      <c r="J119" s="4" t="inlineStr">
        <is>
          <t>Medan</t>
        </is>
      </c>
      <c r="K119" s="5" t="n">
        <v>8550401</v>
      </c>
      <c r="L119" s="4" t="n">
        <v>2.8</v>
      </c>
      <c r="M119" s="4" t="n">
        <v>2</v>
      </c>
      <c r="N119" s="4" t="inlineStr">
        <is>
          <t>Active</t>
        </is>
      </c>
    </row>
    <row r="120">
      <c r="A120" s="2" t="inlineStr">
        <is>
          <t>EMP0119</t>
        </is>
      </c>
      <c r="B120" s="2" t="inlineStr">
        <is>
          <t>Arif Wijaya</t>
        </is>
      </c>
      <c r="C120" s="2" t="inlineStr">
        <is>
          <t>Male</t>
        </is>
      </c>
      <c r="D120" s="2" t="inlineStr">
        <is>
          <t>Sales</t>
        </is>
      </c>
      <c r="E120" s="2" t="inlineStr">
        <is>
          <t>Director</t>
        </is>
      </c>
      <c r="F120" s="2" t="inlineStr">
        <is>
          <t>Full-Time</t>
        </is>
      </c>
      <c r="G120" s="2" t="inlineStr">
        <is>
          <t>2016-09-18</t>
        </is>
      </c>
      <c r="H120" s="2" t="n">
        <v>40</v>
      </c>
      <c r="I120" s="2" t="inlineStr">
        <is>
          <t>Master</t>
        </is>
      </c>
      <c r="J120" s="2" t="inlineStr">
        <is>
          <t>Semarang</t>
        </is>
      </c>
      <c r="K120" s="3" t="n">
        <v>26302536</v>
      </c>
      <c r="L120" s="2" t="n">
        <v>4.3</v>
      </c>
      <c r="M120" s="2" t="n">
        <v>8</v>
      </c>
      <c r="N120" s="2" t="inlineStr">
        <is>
          <t>Active</t>
        </is>
      </c>
    </row>
    <row r="121">
      <c r="A121" s="4" t="inlineStr">
        <is>
          <t>EMP0120</t>
        </is>
      </c>
      <c r="B121" s="4" t="inlineStr">
        <is>
          <t>Hendra Utama</t>
        </is>
      </c>
      <c r="C121" s="4" t="inlineStr">
        <is>
          <t>Male</t>
        </is>
      </c>
      <c r="D121" s="4" t="inlineStr">
        <is>
          <t>Finance</t>
        </is>
      </c>
      <c r="E121" s="4" t="inlineStr">
        <is>
          <t>Junior</t>
        </is>
      </c>
      <c r="F121" s="4" t="inlineStr">
        <is>
          <t>Part-Time</t>
        </is>
      </c>
      <c r="G121" s="4" t="inlineStr">
        <is>
          <t>2018-08-01</t>
        </is>
      </c>
      <c r="H121" s="4" t="n">
        <v>45</v>
      </c>
      <c r="I121" s="4" t="inlineStr">
        <is>
          <t>Bachelor</t>
        </is>
      </c>
      <c r="J121" s="4" t="inlineStr">
        <is>
          <t>Bandung</t>
        </is>
      </c>
      <c r="K121" s="5" t="n">
        <v>6101108</v>
      </c>
      <c r="L121" s="4" t="n">
        <v>5</v>
      </c>
      <c r="M121" s="4" t="n">
        <v>6</v>
      </c>
      <c r="N121" s="4" t="inlineStr">
        <is>
          <t>Active</t>
        </is>
      </c>
    </row>
    <row r="122">
      <c r="A122" s="2" t="inlineStr">
        <is>
          <t>EMP0121</t>
        </is>
      </c>
      <c r="B122" s="2" t="inlineStr">
        <is>
          <t>Andi Kusuma</t>
        </is>
      </c>
      <c r="C122" s="2" t="inlineStr">
        <is>
          <t>Male</t>
        </is>
      </c>
      <c r="D122" s="2" t="inlineStr">
        <is>
          <t>Legal</t>
        </is>
      </c>
      <c r="E122" s="2" t="inlineStr">
        <is>
          <t>Director</t>
        </is>
      </c>
      <c r="F122" s="2" t="inlineStr">
        <is>
          <t>Part-Time</t>
        </is>
      </c>
      <c r="G122" s="2" t="inlineStr">
        <is>
          <t>2023-07-25</t>
        </is>
      </c>
      <c r="H122" s="2" t="n">
        <v>48</v>
      </c>
      <c r="I122" s="2" t="inlineStr">
        <is>
          <t>Master</t>
        </is>
      </c>
      <c r="J122" s="2" t="inlineStr">
        <is>
          <t>Jakarta</t>
        </is>
      </c>
      <c r="K122" s="3" t="n">
        <v>26077287</v>
      </c>
      <c r="L122" s="2" t="n">
        <v>3.3</v>
      </c>
      <c r="M122" s="2" t="n">
        <v>1</v>
      </c>
      <c r="N122" s="2" t="inlineStr">
        <is>
          <t>Active</t>
        </is>
      </c>
    </row>
    <row r="123">
      <c r="A123" s="4" t="inlineStr">
        <is>
          <t>EMP0122</t>
        </is>
      </c>
      <c r="B123" s="4" t="inlineStr">
        <is>
          <t>Wulan Rahmat</t>
        </is>
      </c>
      <c r="C123" s="4" t="inlineStr">
        <is>
          <t>Female</t>
        </is>
      </c>
      <c r="D123" s="4" t="inlineStr">
        <is>
          <t>HR</t>
        </is>
      </c>
      <c r="E123" s="4" t="inlineStr">
        <is>
          <t>Manager</t>
        </is>
      </c>
      <c r="F123" s="4" t="inlineStr">
        <is>
          <t>Full-Time</t>
        </is>
      </c>
      <c r="G123" s="4" t="inlineStr">
        <is>
          <t>2017-03-14</t>
        </is>
      </c>
      <c r="H123" s="4" t="n">
        <v>54</v>
      </c>
      <c r="I123" s="4" t="inlineStr">
        <is>
          <t>PhD</t>
        </is>
      </c>
      <c r="J123" s="4" t="inlineStr">
        <is>
          <t>Jakarta</t>
        </is>
      </c>
      <c r="K123" s="5" t="n">
        <v>19941258</v>
      </c>
      <c r="L123" s="4" t="n">
        <v>3.8</v>
      </c>
      <c r="M123" s="4" t="n">
        <v>7</v>
      </c>
      <c r="N123" s="4" t="inlineStr">
        <is>
          <t>Active</t>
        </is>
      </c>
    </row>
    <row r="124">
      <c r="A124" s="2" t="inlineStr">
        <is>
          <t>EMP0123</t>
        </is>
      </c>
      <c r="B124" s="2" t="inlineStr">
        <is>
          <t>Hendra Utama</t>
        </is>
      </c>
      <c r="C124" s="2" t="inlineStr">
        <is>
          <t>Male</t>
        </is>
      </c>
      <c r="D124" s="2" t="inlineStr">
        <is>
          <t>Sales</t>
        </is>
      </c>
      <c r="E124" s="2" t="inlineStr">
        <is>
          <t>Manager</t>
        </is>
      </c>
      <c r="F124" s="2" t="inlineStr">
        <is>
          <t>Contract</t>
        </is>
      </c>
      <c r="G124" s="2" t="inlineStr">
        <is>
          <t>2016-05-07</t>
        </is>
      </c>
      <c r="H124" s="2" t="n">
        <v>57</v>
      </c>
      <c r="I124" s="2" t="inlineStr">
        <is>
          <t>Bachelor</t>
        </is>
      </c>
      <c r="J124" s="2" t="inlineStr">
        <is>
          <t>Makassar</t>
        </is>
      </c>
      <c r="K124" s="3" t="n">
        <v>17562710</v>
      </c>
      <c r="L124" s="2" t="n">
        <v>3.8</v>
      </c>
      <c r="M124" s="2" t="n">
        <v>8</v>
      </c>
      <c r="N124" s="2" t="inlineStr">
        <is>
          <t>Active</t>
        </is>
      </c>
    </row>
    <row r="125">
      <c r="A125" s="4" t="inlineStr">
        <is>
          <t>EMP0124</t>
        </is>
      </c>
      <c r="B125" s="4" t="inlineStr">
        <is>
          <t>Eko Pratama</t>
        </is>
      </c>
      <c r="C125" s="4" t="inlineStr">
        <is>
          <t>Male</t>
        </is>
      </c>
      <c r="D125" s="4" t="inlineStr">
        <is>
          <t>HR</t>
        </is>
      </c>
      <c r="E125" s="4" t="inlineStr">
        <is>
          <t>Director</t>
        </is>
      </c>
      <c r="F125" s="4" t="inlineStr">
        <is>
          <t>Full-Time</t>
        </is>
      </c>
      <c r="G125" s="4" t="inlineStr">
        <is>
          <t>2020-10-02</t>
        </is>
      </c>
      <c r="H125" s="4" t="n">
        <v>23</v>
      </c>
      <c r="I125" s="4" t="inlineStr">
        <is>
          <t>Diploma</t>
        </is>
      </c>
      <c r="J125" s="4" t="inlineStr">
        <is>
          <t>Makassar</t>
        </is>
      </c>
      <c r="K125" s="5" t="n">
        <v>30597156</v>
      </c>
      <c r="L125" s="4" t="n">
        <v>3.2</v>
      </c>
      <c r="M125" s="4" t="n">
        <v>4</v>
      </c>
      <c r="N125" s="4" t="inlineStr">
        <is>
          <t>Active</t>
        </is>
      </c>
    </row>
    <row r="126">
      <c r="A126" s="2" t="inlineStr">
        <is>
          <t>EMP0125</t>
        </is>
      </c>
      <c r="B126" s="2" t="inlineStr">
        <is>
          <t>Dina Santoso</t>
        </is>
      </c>
      <c r="C126" s="2" t="inlineStr">
        <is>
          <t>Female</t>
        </is>
      </c>
      <c r="D126" s="2" t="inlineStr">
        <is>
          <t>R&amp;D</t>
        </is>
      </c>
      <c r="E126" s="2" t="inlineStr">
        <is>
          <t>Director</t>
        </is>
      </c>
      <c r="F126" s="2" t="inlineStr">
        <is>
          <t>Full-Time</t>
        </is>
      </c>
      <c r="G126" s="2" t="inlineStr">
        <is>
          <t>2019-08-08</t>
        </is>
      </c>
      <c r="H126" s="2" t="n">
        <v>47</v>
      </c>
      <c r="I126" s="2" t="inlineStr">
        <is>
          <t>Bachelor</t>
        </is>
      </c>
      <c r="J126" s="2" t="inlineStr">
        <is>
          <t>Jakarta</t>
        </is>
      </c>
      <c r="K126" s="3" t="n">
        <v>30020295</v>
      </c>
      <c r="L126" s="2" t="n">
        <v>2.9</v>
      </c>
      <c r="M126" s="2" t="n">
        <v>5</v>
      </c>
      <c r="N126" s="2" t="inlineStr">
        <is>
          <t>Active</t>
        </is>
      </c>
    </row>
    <row r="127">
      <c r="A127" s="4" t="inlineStr">
        <is>
          <t>EMP0126</t>
        </is>
      </c>
      <c r="B127" s="4" t="inlineStr">
        <is>
          <t>Lina Rahmat</t>
        </is>
      </c>
      <c r="C127" s="4" t="inlineStr">
        <is>
          <t>Female</t>
        </is>
      </c>
      <c r="D127" s="4" t="inlineStr">
        <is>
          <t>HR</t>
        </is>
      </c>
      <c r="E127" s="4" t="inlineStr">
        <is>
          <t>Senior</t>
        </is>
      </c>
      <c r="F127" s="4" t="inlineStr">
        <is>
          <t>Contract</t>
        </is>
      </c>
      <c r="G127" s="4" t="inlineStr">
        <is>
          <t>2020-12-28</t>
        </is>
      </c>
      <c r="H127" s="4" t="n">
        <v>44</v>
      </c>
      <c r="I127" s="4" t="inlineStr">
        <is>
          <t>PhD</t>
        </is>
      </c>
      <c r="J127" s="4" t="inlineStr">
        <is>
          <t>Surabaya</t>
        </is>
      </c>
      <c r="K127" s="5" t="n">
        <v>9811496</v>
      </c>
      <c r="L127" s="4" t="n">
        <v>3.8</v>
      </c>
      <c r="M127" s="4" t="n">
        <v>4</v>
      </c>
      <c r="N127" s="4" t="inlineStr">
        <is>
          <t>Active</t>
        </is>
      </c>
    </row>
    <row r="128">
      <c r="A128" s="2" t="inlineStr">
        <is>
          <t>EMP0127</t>
        </is>
      </c>
      <c r="B128" s="2" t="inlineStr">
        <is>
          <t>Arif Wijaya</t>
        </is>
      </c>
      <c r="C128" s="2" t="inlineStr">
        <is>
          <t>Male</t>
        </is>
      </c>
      <c r="D128" s="2" t="inlineStr">
        <is>
          <t>IT</t>
        </is>
      </c>
      <c r="E128" s="2" t="inlineStr">
        <is>
          <t>Supervisor</t>
        </is>
      </c>
      <c r="F128" s="2" t="inlineStr">
        <is>
          <t>Full-Time</t>
        </is>
      </c>
      <c r="G128" s="2" t="inlineStr">
        <is>
          <t>2016-01-10</t>
        </is>
      </c>
      <c r="H128" s="2" t="n">
        <v>46</v>
      </c>
      <c r="I128" s="2" t="inlineStr">
        <is>
          <t>Master</t>
        </is>
      </c>
      <c r="J128" s="2" t="inlineStr">
        <is>
          <t>Medan</t>
        </is>
      </c>
      <c r="K128" s="3" t="n">
        <v>11544810</v>
      </c>
      <c r="L128" s="2" t="n">
        <v>4.7</v>
      </c>
      <c r="M128" s="2" t="n">
        <v>8</v>
      </c>
      <c r="N128" s="2" t="inlineStr">
        <is>
          <t>Active</t>
        </is>
      </c>
    </row>
    <row r="129">
      <c r="A129" s="4" t="inlineStr">
        <is>
          <t>EMP0128</t>
        </is>
      </c>
      <c r="B129" s="4" t="inlineStr">
        <is>
          <t>Dina Rahmat</t>
        </is>
      </c>
      <c r="C129" s="4" t="inlineStr">
        <is>
          <t>Female</t>
        </is>
      </c>
      <c r="D129" s="4" t="inlineStr">
        <is>
          <t>Marketing</t>
        </is>
      </c>
      <c r="E129" s="4" t="inlineStr">
        <is>
          <t>Junior</t>
        </is>
      </c>
      <c r="F129" s="4" t="inlineStr">
        <is>
          <t>Full-Time</t>
        </is>
      </c>
      <c r="G129" s="4" t="inlineStr">
        <is>
          <t>2023-08-16</t>
        </is>
      </c>
      <c r="H129" s="4" t="n">
        <v>41</v>
      </c>
      <c r="I129" s="4" t="inlineStr">
        <is>
          <t>Bachelor</t>
        </is>
      </c>
      <c r="J129" s="4" t="inlineStr">
        <is>
          <t>Jakarta</t>
        </is>
      </c>
      <c r="K129" s="5" t="n">
        <v>6817849</v>
      </c>
      <c r="L129" s="4" t="n">
        <v>3.8</v>
      </c>
      <c r="M129" s="4" t="n">
        <v>1</v>
      </c>
      <c r="N129" s="4" t="inlineStr">
        <is>
          <t>Inactive</t>
        </is>
      </c>
    </row>
    <row r="130">
      <c r="A130" s="2" t="inlineStr">
        <is>
          <t>EMP0129</t>
        </is>
      </c>
      <c r="B130" s="2" t="inlineStr">
        <is>
          <t>Eko Rahmat</t>
        </is>
      </c>
      <c r="C130" s="2" t="inlineStr">
        <is>
          <t>Male</t>
        </is>
      </c>
      <c r="D130" s="2" t="inlineStr">
        <is>
          <t>Operations</t>
        </is>
      </c>
      <c r="E130" s="2" t="inlineStr">
        <is>
          <t>Staff</t>
        </is>
      </c>
      <c r="F130" s="2" t="inlineStr">
        <is>
          <t>Full-Time</t>
        </is>
      </c>
      <c r="G130" s="2" t="inlineStr">
        <is>
          <t>2022-05-18</t>
        </is>
      </c>
      <c r="H130" s="2" t="n">
        <v>22</v>
      </c>
      <c r="I130" s="2" t="inlineStr">
        <is>
          <t>Master</t>
        </is>
      </c>
      <c r="J130" s="2" t="inlineStr">
        <is>
          <t>Medan</t>
        </is>
      </c>
      <c r="K130" s="3" t="n">
        <v>4200676</v>
      </c>
      <c r="L130" s="2" t="n">
        <v>3.2</v>
      </c>
      <c r="M130" s="2" t="n">
        <v>2</v>
      </c>
      <c r="N130" s="2" t="inlineStr">
        <is>
          <t>Active</t>
        </is>
      </c>
    </row>
    <row r="131">
      <c r="A131" s="4" t="inlineStr">
        <is>
          <t>EMP0130</t>
        </is>
      </c>
      <c r="B131" s="4" t="inlineStr">
        <is>
          <t>Ayu Santoso</t>
        </is>
      </c>
      <c r="C131" s="4" t="inlineStr">
        <is>
          <t>Female</t>
        </is>
      </c>
      <c r="D131" s="4" t="inlineStr">
        <is>
          <t>Legal</t>
        </is>
      </c>
      <c r="E131" s="4" t="inlineStr">
        <is>
          <t>Staff</t>
        </is>
      </c>
      <c r="F131" s="4" t="inlineStr">
        <is>
          <t>Full-Time</t>
        </is>
      </c>
      <c r="G131" s="4" t="inlineStr">
        <is>
          <t>2018-06-18</t>
        </is>
      </c>
      <c r="H131" s="4" t="n">
        <v>40</v>
      </c>
      <c r="I131" s="4" t="inlineStr">
        <is>
          <t>Diploma</t>
        </is>
      </c>
      <c r="J131" s="4" t="inlineStr">
        <is>
          <t>Bali</t>
        </is>
      </c>
      <c r="K131" s="5" t="n">
        <v>4556648</v>
      </c>
      <c r="L131" s="4" t="n">
        <v>3.9</v>
      </c>
      <c r="M131" s="4" t="n">
        <v>6</v>
      </c>
      <c r="N131" s="4" t="inlineStr">
        <is>
          <t>Active</t>
        </is>
      </c>
    </row>
    <row r="132">
      <c r="A132" s="2" t="inlineStr">
        <is>
          <t>EMP0131</t>
        </is>
      </c>
      <c r="B132" s="2" t="inlineStr">
        <is>
          <t>Rizki Wijaya</t>
        </is>
      </c>
      <c r="C132" s="2" t="inlineStr">
        <is>
          <t>Male</t>
        </is>
      </c>
      <c r="D132" s="2" t="inlineStr">
        <is>
          <t>Legal</t>
        </is>
      </c>
      <c r="E132" s="2" t="inlineStr">
        <is>
          <t>Senior</t>
        </is>
      </c>
      <c r="F132" s="2" t="inlineStr">
        <is>
          <t>Part-Time</t>
        </is>
      </c>
      <c r="G132" s="2" t="inlineStr">
        <is>
          <t>2020-09-12</t>
        </is>
      </c>
      <c r="H132" s="2" t="n">
        <v>31</v>
      </c>
      <c r="I132" s="2" t="inlineStr">
        <is>
          <t>Bachelor</t>
        </is>
      </c>
      <c r="J132" s="2" t="inlineStr">
        <is>
          <t>Bali</t>
        </is>
      </c>
      <c r="K132" s="3" t="n">
        <v>9003120</v>
      </c>
      <c r="L132" s="2" t="n">
        <v>2.6</v>
      </c>
      <c r="M132" s="2" t="n">
        <v>4</v>
      </c>
      <c r="N132" s="2" t="inlineStr">
        <is>
          <t>Active</t>
        </is>
      </c>
    </row>
    <row r="133">
      <c r="A133" s="4" t="inlineStr">
        <is>
          <t>EMP0132</t>
        </is>
      </c>
      <c r="B133" s="4" t="inlineStr">
        <is>
          <t>Maya Susanto</t>
        </is>
      </c>
      <c r="C133" s="4" t="inlineStr">
        <is>
          <t>Female</t>
        </is>
      </c>
      <c r="D133" s="4" t="inlineStr">
        <is>
          <t>HR</t>
        </is>
      </c>
      <c r="E133" s="4" t="inlineStr">
        <is>
          <t>Manager</t>
        </is>
      </c>
      <c r="F133" s="4" t="inlineStr">
        <is>
          <t>Contract</t>
        </is>
      </c>
      <c r="G133" s="4" t="inlineStr">
        <is>
          <t>2017-06-20</t>
        </is>
      </c>
      <c r="H133" s="4" t="n">
        <v>42</v>
      </c>
      <c r="I133" s="4" t="inlineStr">
        <is>
          <t>Bachelor</t>
        </is>
      </c>
      <c r="J133" s="4" t="inlineStr">
        <is>
          <t>Bali</t>
        </is>
      </c>
      <c r="K133" s="5" t="n">
        <v>19526937</v>
      </c>
      <c r="L133" s="4" t="n">
        <v>3.2</v>
      </c>
      <c r="M133" s="4" t="n">
        <v>7</v>
      </c>
      <c r="N133" s="4" t="inlineStr">
        <is>
          <t>Active</t>
        </is>
      </c>
    </row>
    <row r="134">
      <c r="A134" s="2" t="inlineStr">
        <is>
          <t>EMP0133</t>
        </is>
      </c>
      <c r="B134" s="2" t="inlineStr">
        <is>
          <t>Dina Kusuma</t>
        </is>
      </c>
      <c r="C134" s="2" t="inlineStr">
        <is>
          <t>Female</t>
        </is>
      </c>
      <c r="D134" s="2" t="inlineStr">
        <is>
          <t>R&amp;D</t>
        </is>
      </c>
      <c r="E134" s="2" t="inlineStr">
        <is>
          <t>Staff</t>
        </is>
      </c>
      <c r="F134" s="2" t="inlineStr">
        <is>
          <t>Full-Time</t>
        </is>
      </c>
      <c r="G134" s="2" t="inlineStr">
        <is>
          <t>2016-07-19</t>
        </is>
      </c>
      <c r="H134" s="2" t="n">
        <v>41</v>
      </c>
      <c r="I134" s="2" t="inlineStr">
        <is>
          <t>Master</t>
        </is>
      </c>
      <c r="J134" s="2" t="inlineStr">
        <is>
          <t>Makassar</t>
        </is>
      </c>
      <c r="K134" s="3" t="n">
        <v>5031111</v>
      </c>
      <c r="L134" s="2" t="n">
        <v>4.1</v>
      </c>
      <c r="M134" s="2" t="n">
        <v>8</v>
      </c>
      <c r="N134" s="2" t="inlineStr">
        <is>
          <t>Active</t>
        </is>
      </c>
    </row>
    <row r="135">
      <c r="A135" s="4" t="inlineStr">
        <is>
          <t>EMP0134</t>
        </is>
      </c>
      <c r="B135" s="4" t="inlineStr">
        <is>
          <t>Dina Utama</t>
        </is>
      </c>
      <c r="C135" s="4" t="inlineStr">
        <is>
          <t>Female</t>
        </is>
      </c>
      <c r="D135" s="4" t="inlineStr">
        <is>
          <t>Operations</t>
        </is>
      </c>
      <c r="E135" s="4" t="inlineStr">
        <is>
          <t>Manager</t>
        </is>
      </c>
      <c r="F135" s="4" t="inlineStr">
        <is>
          <t>Full-Time</t>
        </is>
      </c>
      <c r="G135" s="4" t="inlineStr">
        <is>
          <t>2023-11-24</t>
        </is>
      </c>
      <c r="H135" s="4" t="n">
        <v>46</v>
      </c>
      <c r="I135" s="4" t="inlineStr">
        <is>
          <t>Diploma</t>
        </is>
      </c>
      <c r="J135" s="4" t="inlineStr">
        <is>
          <t>Makassar</t>
        </is>
      </c>
      <c r="K135" s="5" t="n">
        <v>17289884</v>
      </c>
      <c r="L135" s="4" t="n">
        <v>3.9</v>
      </c>
      <c r="M135" s="4" t="n">
        <v>1</v>
      </c>
      <c r="N135" s="4" t="inlineStr">
        <is>
          <t>Active</t>
        </is>
      </c>
    </row>
    <row r="136">
      <c r="A136" s="2" t="inlineStr">
        <is>
          <t>EMP0135</t>
        </is>
      </c>
      <c r="B136" s="2" t="inlineStr">
        <is>
          <t>Budi Susanto</t>
        </is>
      </c>
      <c r="C136" s="2" t="inlineStr">
        <is>
          <t>Male</t>
        </is>
      </c>
      <c r="D136" s="2" t="inlineStr">
        <is>
          <t>Sales</t>
        </is>
      </c>
      <c r="E136" s="2" t="inlineStr">
        <is>
          <t>Supervisor</t>
        </is>
      </c>
      <c r="F136" s="2" t="inlineStr">
        <is>
          <t>Full-Time</t>
        </is>
      </c>
      <c r="G136" s="2" t="inlineStr">
        <is>
          <t>2018-07-17</t>
        </is>
      </c>
      <c r="H136" s="2" t="n">
        <v>52</v>
      </c>
      <c r="I136" s="2" t="inlineStr">
        <is>
          <t>Master</t>
        </is>
      </c>
      <c r="J136" s="2" t="inlineStr">
        <is>
          <t>Makassar</t>
        </is>
      </c>
      <c r="K136" s="3" t="n">
        <v>12982206</v>
      </c>
      <c r="L136" s="2" t="n">
        <v>4.3</v>
      </c>
      <c r="M136" s="2" t="n">
        <v>6</v>
      </c>
      <c r="N136" s="2" t="inlineStr">
        <is>
          <t>Active</t>
        </is>
      </c>
    </row>
    <row r="137">
      <c r="A137" s="4" t="inlineStr">
        <is>
          <t>EMP0136</t>
        </is>
      </c>
      <c r="B137" s="4" t="inlineStr">
        <is>
          <t>Maya Hidayat</t>
        </is>
      </c>
      <c r="C137" s="4" t="inlineStr">
        <is>
          <t>Female</t>
        </is>
      </c>
      <c r="D137" s="4" t="inlineStr">
        <is>
          <t>Sales</t>
        </is>
      </c>
      <c r="E137" s="4" t="inlineStr">
        <is>
          <t>Junior</t>
        </is>
      </c>
      <c r="F137" s="4" t="inlineStr">
        <is>
          <t>Full-Time</t>
        </is>
      </c>
      <c r="G137" s="4" t="inlineStr">
        <is>
          <t>2023-06-18</t>
        </is>
      </c>
      <c r="H137" s="4" t="n">
        <v>44</v>
      </c>
      <c r="I137" s="4" t="inlineStr">
        <is>
          <t>Master</t>
        </is>
      </c>
      <c r="J137" s="4" t="inlineStr">
        <is>
          <t>Semarang</t>
        </is>
      </c>
      <c r="K137" s="5" t="n">
        <v>6481386</v>
      </c>
      <c r="L137" s="4" t="n">
        <v>4.1</v>
      </c>
      <c r="M137" s="4" t="n">
        <v>1</v>
      </c>
      <c r="N137" s="4" t="inlineStr">
        <is>
          <t>Active</t>
        </is>
      </c>
    </row>
    <row r="138">
      <c r="A138" s="2" t="inlineStr">
        <is>
          <t>EMP0137</t>
        </is>
      </c>
      <c r="B138" s="2" t="inlineStr">
        <is>
          <t>Lina Utama</t>
        </is>
      </c>
      <c r="C138" s="2" t="inlineStr">
        <is>
          <t>Female</t>
        </is>
      </c>
      <c r="D138" s="2" t="inlineStr">
        <is>
          <t>IT</t>
        </is>
      </c>
      <c r="E138" s="2" t="inlineStr">
        <is>
          <t>Manager</t>
        </is>
      </c>
      <c r="F138" s="2" t="inlineStr">
        <is>
          <t>Full-Time</t>
        </is>
      </c>
      <c r="G138" s="2" t="inlineStr">
        <is>
          <t>2019-05-23</t>
        </is>
      </c>
      <c r="H138" s="2" t="n">
        <v>35</v>
      </c>
      <c r="I138" s="2" t="inlineStr">
        <is>
          <t>Master</t>
        </is>
      </c>
      <c r="J138" s="2" t="inlineStr">
        <is>
          <t>Medan</t>
        </is>
      </c>
      <c r="K138" s="3" t="n">
        <v>17626683</v>
      </c>
      <c r="L138" s="2" t="n">
        <v>3.4</v>
      </c>
      <c r="M138" s="2" t="n">
        <v>5</v>
      </c>
      <c r="N138" s="2" t="inlineStr">
        <is>
          <t>Inactive</t>
        </is>
      </c>
    </row>
    <row r="139">
      <c r="A139" s="4" t="inlineStr">
        <is>
          <t>EMP0138</t>
        </is>
      </c>
      <c r="B139" s="4" t="inlineStr">
        <is>
          <t>Putri Wijaya</t>
        </is>
      </c>
      <c r="C139" s="4" t="inlineStr">
        <is>
          <t>Female</t>
        </is>
      </c>
      <c r="D139" s="4" t="inlineStr">
        <is>
          <t>Legal</t>
        </is>
      </c>
      <c r="E139" s="4" t="inlineStr">
        <is>
          <t>Supervisor</t>
        </is>
      </c>
      <c r="F139" s="4" t="inlineStr">
        <is>
          <t>Part-Time</t>
        </is>
      </c>
      <c r="G139" s="4" t="inlineStr">
        <is>
          <t>2017-05-02</t>
        </is>
      </c>
      <c r="H139" s="4" t="n">
        <v>40</v>
      </c>
      <c r="I139" s="4" t="inlineStr">
        <is>
          <t>PhD</t>
        </is>
      </c>
      <c r="J139" s="4" t="inlineStr">
        <is>
          <t>Jakarta</t>
        </is>
      </c>
      <c r="K139" s="5" t="n">
        <v>11839090</v>
      </c>
      <c r="L139" s="4" t="n">
        <v>3.6</v>
      </c>
      <c r="M139" s="4" t="n">
        <v>7</v>
      </c>
      <c r="N139" s="4" t="inlineStr">
        <is>
          <t>Active</t>
        </is>
      </c>
    </row>
    <row r="140">
      <c r="A140" s="2" t="inlineStr">
        <is>
          <t>EMP0139</t>
        </is>
      </c>
      <c r="B140" s="2" t="inlineStr">
        <is>
          <t>Lina Utama</t>
        </is>
      </c>
      <c r="C140" s="2" t="inlineStr">
        <is>
          <t>Female</t>
        </is>
      </c>
      <c r="D140" s="2" t="inlineStr">
        <is>
          <t>IT</t>
        </is>
      </c>
      <c r="E140" s="2" t="inlineStr">
        <is>
          <t>Manager</t>
        </is>
      </c>
      <c r="F140" s="2" t="inlineStr">
        <is>
          <t>Full-Time</t>
        </is>
      </c>
      <c r="G140" s="2" t="inlineStr">
        <is>
          <t>2017-02-20</t>
        </is>
      </c>
      <c r="H140" s="2" t="n">
        <v>37</v>
      </c>
      <c r="I140" s="2" t="inlineStr">
        <is>
          <t>Bachelor</t>
        </is>
      </c>
      <c r="J140" s="2" t="inlineStr">
        <is>
          <t>Makassar</t>
        </is>
      </c>
      <c r="K140" s="3" t="n">
        <v>20273328</v>
      </c>
      <c r="L140" s="2" t="n">
        <v>3.1</v>
      </c>
      <c r="M140" s="2" t="n">
        <v>7</v>
      </c>
      <c r="N140" s="2" t="inlineStr">
        <is>
          <t>Active</t>
        </is>
      </c>
    </row>
    <row r="141">
      <c r="A141" s="4" t="inlineStr">
        <is>
          <t>EMP0140</t>
        </is>
      </c>
      <c r="B141" s="4" t="inlineStr">
        <is>
          <t>Wahyu Rahmat</t>
        </is>
      </c>
      <c r="C141" s="4" t="inlineStr">
        <is>
          <t>Male</t>
        </is>
      </c>
      <c r="D141" s="4" t="inlineStr">
        <is>
          <t>R&amp;D</t>
        </is>
      </c>
      <c r="E141" s="4" t="inlineStr">
        <is>
          <t>Staff</t>
        </is>
      </c>
      <c r="F141" s="4" t="inlineStr">
        <is>
          <t>Full-Time</t>
        </is>
      </c>
      <c r="G141" s="4" t="inlineStr">
        <is>
          <t>2017-01-18</t>
        </is>
      </c>
      <c r="H141" s="4" t="n">
        <v>32</v>
      </c>
      <c r="I141" s="4" t="inlineStr">
        <is>
          <t>Bachelor</t>
        </is>
      </c>
      <c r="J141" s="4" t="inlineStr">
        <is>
          <t>Medan</t>
        </is>
      </c>
      <c r="K141" s="5" t="n">
        <v>4587129</v>
      </c>
      <c r="L141" s="4" t="n">
        <v>3</v>
      </c>
      <c r="M141" s="4" t="n">
        <v>7</v>
      </c>
      <c r="N141" s="4" t="inlineStr">
        <is>
          <t>Inactive</t>
        </is>
      </c>
    </row>
    <row r="142">
      <c r="A142" s="2" t="inlineStr">
        <is>
          <t>EMP0141</t>
        </is>
      </c>
      <c r="B142" s="2" t="inlineStr">
        <is>
          <t>Putri Santoso</t>
        </is>
      </c>
      <c r="C142" s="2" t="inlineStr">
        <is>
          <t>Female</t>
        </is>
      </c>
      <c r="D142" s="2" t="inlineStr">
        <is>
          <t>Finance</t>
        </is>
      </c>
      <c r="E142" s="2" t="inlineStr">
        <is>
          <t>Director</t>
        </is>
      </c>
      <c r="F142" s="2" t="inlineStr">
        <is>
          <t>Full-Time</t>
        </is>
      </c>
      <c r="G142" s="2" t="inlineStr">
        <is>
          <t>2023-12-24</t>
        </is>
      </c>
      <c r="H142" s="2" t="n">
        <v>24</v>
      </c>
      <c r="I142" s="2" t="inlineStr">
        <is>
          <t>PhD</t>
        </is>
      </c>
      <c r="J142" s="2" t="inlineStr">
        <is>
          <t>Surabaya</t>
        </is>
      </c>
      <c r="K142" s="3" t="n">
        <v>28125194</v>
      </c>
      <c r="L142" s="2" t="n">
        <v>4.6</v>
      </c>
      <c r="M142" s="2" t="n">
        <v>1</v>
      </c>
      <c r="N142" s="2" t="inlineStr">
        <is>
          <t>Inactive</t>
        </is>
      </c>
    </row>
    <row r="143">
      <c r="A143" s="4" t="inlineStr">
        <is>
          <t>EMP0142</t>
        </is>
      </c>
      <c r="B143" s="4" t="inlineStr">
        <is>
          <t>Wahyu Susanto</t>
        </is>
      </c>
      <c r="C143" s="4" t="inlineStr">
        <is>
          <t>Male</t>
        </is>
      </c>
      <c r="D143" s="4" t="inlineStr">
        <is>
          <t>HR</t>
        </is>
      </c>
      <c r="E143" s="4" t="inlineStr">
        <is>
          <t>Director</t>
        </is>
      </c>
      <c r="F143" s="4" t="inlineStr">
        <is>
          <t>Contract</t>
        </is>
      </c>
      <c r="G143" s="4" t="inlineStr">
        <is>
          <t>2019-01-01</t>
        </is>
      </c>
      <c r="H143" s="4" t="n">
        <v>41</v>
      </c>
      <c r="I143" s="4" t="inlineStr">
        <is>
          <t>Bachelor</t>
        </is>
      </c>
      <c r="J143" s="4" t="inlineStr">
        <is>
          <t>Jakarta</t>
        </is>
      </c>
      <c r="K143" s="5" t="n">
        <v>31699183</v>
      </c>
      <c r="L143" s="4" t="n">
        <v>3.3</v>
      </c>
      <c r="M143" s="4" t="n">
        <v>5</v>
      </c>
      <c r="N143" s="4" t="inlineStr">
        <is>
          <t>Active</t>
        </is>
      </c>
    </row>
    <row r="144">
      <c r="A144" s="2" t="inlineStr">
        <is>
          <t>EMP0143</t>
        </is>
      </c>
      <c r="B144" s="2" t="inlineStr">
        <is>
          <t>Rina Susanto</t>
        </is>
      </c>
      <c r="C144" s="2" t="inlineStr">
        <is>
          <t>Female</t>
        </is>
      </c>
      <c r="D144" s="2" t="inlineStr">
        <is>
          <t>IT</t>
        </is>
      </c>
      <c r="E144" s="2" t="inlineStr">
        <is>
          <t>Junior</t>
        </is>
      </c>
      <c r="F144" s="2" t="inlineStr">
        <is>
          <t>Part-Time</t>
        </is>
      </c>
      <c r="G144" s="2" t="inlineStr">
        <is>
          <t>2020-03-24</t>
        </is>
      </c>
      <c r="H144" s="2" t="n">
        <v>51</v>
      </c>
      <c r="I144" s="2" t="inlineStr">
        <is>
          <t>Bachelor</t>
        </is>
      </c>
      <c r="J144" s="2" t="inlineStr">
        <is>
          <t>Makassar</t>
        </is>
      </c>
      <c r="K144" s="3" t="n">
        <v>5679298</v>
      </c>
      <c r="L144" s="2" t="n">
        <v>4.3</v>
      </c>
      <c r="M144" s="2" t="n">
        <v>4</v>
      </c>
      <c r="N144" s="2" t="inlineStr">
        <is>
          <t>Active</t>
        </is>
      </c>
    </row>
    <row r="145">
      <c r="A145" s="4" t="inlineStr">
        <is>
          <t>EMP0144</t>
        </is>
      </c>
      <c r="B145" s="4" t="inlineStr">
        <is>
          <t>Rizki Hidayat</t>
        </is>
      </c>
      <c r="C145" s="4" t="inlineStr">
        <is>
          <t>Male</t>
        </is>
      </c>
      <c r="D145" s="4" t="inlineStr">
        <is>
          <t>Legal</t>
        </is>
      </c>
      <c r="E145" s="4" t="inlineStr">
        <is>
          <t>Manager</t>
        </is>
      </c>
      <c r="F145" s="4" t="inlineStr">
        <is>
          <t>Full-Time</t>
        </is>
      </c>
      <c r="G145" s="4" t="inlineStr">
        <is>
          <t>2021-11-04</t>
        </is>
      </c>
      <c r="H145" s="4" t="n">
        <v>33</v>
      </c>
      <c r="I145" s="4" t="inlineStr">
        <is>
          <t>PhD</t>
        </is>
      </c>
      <c r="J145" s="4" t="inlineStr">
        <is>
          <t>Medan</t>
        </is>
      </c>
      <c r="K145" s="5" t="n">
        <v>17656207</v>
      </c>
      <c r="L145" s="4" t="n">
        <v>3.1</v>
      </c>
      <c r="M145" s="4" t="n">
        <v>3</v>
      </c>
      <c r="N145" s="4" t="inlineStr">
        <is>
          <t>Active</t>
        </is>
      </c>
    </row>
    <row r="146">
      <c r="A146" s="2" t="inlineStr">
        <is>
          <t>EMP0145</t>
        </is>
      </c>
      <c r="B146" s="2" t="inlineStr">
        <is>
          <t>Arif Kusuma</t>
        </is>
      </c>
      <c r="C146" s="2" t="inlineStr">
        <is>
          <t>Male</t>
        </is>
      </c>
      <c r="D146" s="2" t="inlineStr">
        <is>
          <t>Sales</t>
        </is>
      </c>
      <c r="E146" s="2" t="inlineStr">
        <is>
          <t>Senior</t>
        </is>
      </c>
      <c r="F146" s="2" t="inlineStr">
        <is>
          <t>Full-Time</t>
        </is>
      </c>
      <c r="G146" s="2" t="inlineStr">
        <is>
          <t>2015-05-21</t>
        </is>
      </c>
      <c r="H146" s="2" t="n">
        <v>45</v>
      </c>
      <c r="I146" s="2" t="inlineStr">
        <is>
          <t>Master</t>
        </is>
      </c>
      <c r="J146" s="2" t="inlineStr">
        <is>
          <t>Jakarta</t>
        </is>
      </c>
      <c r="K146" s="3" t="n">
        <v>9602518</v>
      </c>
      <c r="L146" s="2" t="n">
        <v>3.7</v>
      </c>
      <c r="M146" s="2" t="n">
        <v>9</v>
      </c>
      <c r="N146" s="2" t="inlineStr">
        <is>
          <t>Active</t>
        </is>
      </c>
    </row>
    <row r="147">
      <c r="A147" s="4" t="inlineStr">
        <is>
          <t>EMP0146</t>
        </is>
      </c>
      <c r="B147" s="4" t="inlineStr">
        <is>
          <t>Dewi Kusuma</t>
        </is>
      </c>
      <c r="C147" s="4" t="inlineStr">
        <is>
          <t>Female</t>
        </is>
      </c>
      <c r="D147" s="4" t="inlineStr">
        <is>
          <t>Sales</t>
        </is>
      </c>
      <c r="E147" s="4" t="inlineStr">
        <is>
          <t>Manager</t>
        </is>
      </c>
      <c r="F147" s="4" t="inlineStr">
        <is>
          <t>Full-Time</t>
        </is>
      </c>
      <c r="G147" s="4" t="inlineStr">
        <is>
          <t>2017-08-05</t>
        </is>
      </c>
      <c r="H147" s="4" t="n">
        <v>51</v>
      </c>
      <c r="I147" s="4" t="inlineStr">
        <is>
          <t>Master</t>
        </is>
      </c>
      <c r="J147" s="4" t="inlineStr">
        <is>
          <t>Bali</t>
        </is>
      </c>
      <c r="K147" s="5" t="n">
        <v>17881311</v>
      </c>
      <c r="L147" s="4" t="n">
        <v>4.3</v>
      </c>
      <c r="M147" s="4" t="n">
        <v>7</v>
      </c>
      <c r="N147" s="4" t="inlineStr">
        <is>
          <t>Inactive</t>
        </is>
      </c>
    </row>
    <row r="148">
      <c r="A148" s="2" t="inlineStr">
        <is>
          <t>EMP0147</t>
        </is>
      </c>
      <c r="B148" s="2" t="inlineStr">
        <is>
          <t>Fajar Wijaya</t>
        </is>
      </c>
      <c r="C148" s="2" t="inlineStr">
        <is>
          <t>Male</t>
        </is>
      </c>
      <c r="D148" s="2" t="inlineStr">
        <is>
          <t>R&amp;D</t>
        </is>
      </c>
      <c r="E148" s="2" t="inlineStr">
        <is>
          <t>Manager</t>
        </is>
      </c>
      <c r="F148" s="2" t="inlineStr">
        <is>
          <t>Part-Time</t>
        </is>
      </c>
      <c r="G148" s="2" t="inlineStr">
        <is>
          <t>2016-10-04</t>
        </is>
      </c>
      <c r="H148" s="2" t="n">
        <v>25</v>
      </c>
      <c r="I148" s="2" t="inlineStr">
        <is>
          <t>Master</t>
        </is>
      </c>
      <c r="J148" s="2" t="inlineStr">
        <is>
          <t>Bali</t>
        </is>
      </c>
      <c r="K148" s="3" t="n">
        <v>17109705</v>
      </c>
      <c r="L148" s="2" t="n">
        <v>3.8</v>
      </c>
      <c r="M148" s="2" t="n">
        <v>8</v>
      </c>
      <c r="N148" s="2" t="inlineStr">
        <is>
          <t>Active</t>
        </is>
      </c>
    </row>
    <row r="149">
      <c r="A149" s="4" t="inlineStr">
        <is>
          <t>EMP0148</t>
        </is>
      </c>
      <c r="B149" s="4" t="inlineStr">
        <is>
          <t>Dewi Utama</t>
        </is>
      </c>
      <c r="C149" s="4" t="inlineStr">
        <is>
          <t>Female</t>
        </is>
      </c>
      <c r="D149" s="4" t="inlineStr">
        <is>
          <t>R&amp;D</t>
        </is>
      </c>
      <c r="E149" s="4" t="inlineStr">
        <is>
          <t>Staff</t>
        </is>
      </c>
      <c r="F149" s="4" t="inlineStr">
        <is>
          <t>Contract</t>
        </is>
      </c>
      <c r="G149" s="4" t="inlineStr">
        <is>
          <t>2022-01-15</t>
        </is>
      </c>
      <c r="H149" s="4" t="n">
        <v>30</v>
      </c>
      <c r="I149" s="4" t="inlineStr">
        <is>
          <t>Bachelor</t>
        </is>
      </c>
      <c r="J149" s="4" t="inlineStr">
        <is>
          <t>Medan</t>
        </is>
      </c>
      <c r="K149" s="5" t="n">
        <v>4684400</v>
      </c>
      <c r="L149" s="4" t="n">
        <v>3.9</v>
      </c>
      <c r="M149" s="4" t="n">
        <v>2</v>
      </c>
      <c r="N149" s="4" t="inlineStr">
        <is>
          <t>Active</t>
        </is>
      </c>
    </row>
    <row r="150">
      <c r="A150" s="2" t="inlineStr">
        <is>
          <t>EMP0149</t>
        </is>
      </c>
      <c r="B150" s="2" t="inlineStr">
        <is>
          <t>Sari Hidayat</t>
        </is>
      </c>
      <c r="C150" s="2" t="inlineStr">
        <is>
          <t>Female</t>
        </is>
      </c>
      <c r="D150" s="2" t="inlineStr">
        <is>
          <t>IT</t>
        </is>
      </c>
      <c r="E150" s="2" t="inlineStr">
        <is>
          <t>Staff</t>
        </is>
      </c>
      <c r="F150" s="2" t="inlineStr">
        <is>
          <t>Part-Time</t>
        </is>
      </c>
      <c r="G150" s="2" t="inlineStr">
        <is>
          <t>2016-01-14</t>
        </is>
      </c>
      <c r="H150" s="2" t="n">
        <v>44</v>
      </c>
      <c r="I150" s="2" t="inlineStr">
        <is>
          <t>Master</t>
        </is>
      </c>
      <c r="J150" s="2" t="inlineStr">
        <is>
          <t>Bali</t>
        </is>
      </c>
      <c r="K150" s="3" t="n">
        <v>5168389</v>
      </c>
      <c r="L150" s="2" t="n">
        <v>4.8</v>
      </c>
      <c r="M150" s="2" t="n">
        <v>8</v>
      </c>
      <c r="N150" s="2" t="inlineStr">
        <is>
          <t>Active</t>
        </is>
      </c>
    </row>
    <row r="151">
      <c r="A151" s="4" t="inlineStr">
        <is>
          <t>EMP0150</t>
        </is>
      </c>
      <c r="B151" s="4" t="inlineStr">
        <is>
          <t>Sari Kusuma</t>
        </is>
      </c>
      <c r="C151" s="4" t="inlineStr">
        <is>
          <t>Female</t>
        </is>
      </c>
      <c r="D151" s="4" t="inlineStr">
        <is>
          <t>Legal</t>
        </is>
      </c>
      <c r="E151" s="4" t="inlineStr">
        <is>
          <t>Junior</t>
        </is>
      </c>
      <c r="F151" s="4" t="inlineStr">
        <is>
          <t>Part-Time</t>
        </is>
      </c>
      <c r="G151" s="4" t="inlineStr">
        <is>
          <t>2021-06-13</t>
        </is>
      </c>
      <c r="H151" s="4" t="n">
        <v>50</v>
      </c>
      <c r="I151" s="4" t="inlineStr">
        <is>
          <t>Master</t>
        </is>
      </c>
      <c r="J151" s="4" t="inlineStr">
        <is>
          <t>Medan</t>
        </is>
      </c>
      <c r="K151" s="5" t="n">
        <v>5963468</v>
      </c>
      <c r="L151" s="4" t="n">
        <v>4.2</v>
      </c>
      <c r="M151" s="4" t="n">
        <v>3</v>
      </c>
      <c r="N151" s="4" t="inlineStr">
        <is>
          <t>Active</t>
        </is>
      </c>
    </row>
    <row r="152">
      <c r="A152" s="2" t="inlineStr">
        <is>
          <t>EMP0151</t>
        </is>
      </c>
      <c r="B152" s="2" t="inlineStr">
        <is>
          <t>Hendra Wijaya</t>
        </is>
      </c>
      <c r="C152" s="2" t="inlineStr">
        <is>
          <t>Male</t>
        </is>
      </c>
      <c r="D152" s="2" t="inlineStr">
        <is>
          <t>HR</t>
        </is>
      </c>
      <c r="E152" s="2" t="inlineStr">
        <is>
          <t>Manager</t>
        </is>
      </c>
      <c r="F152" s="2" t="inlineStr">
        <is>
          <t>Full-Time</t>
        </is>
      </c>
      <c r="G152" s="2" t="inlineStr">
        <is>
          <t>2017-12-08</t>
        </is>
      </c>
      <c r="H152" s="2" t="n">
        <v>22</v>
      </c>
      <c r="I152" s="2" t="inlineStr">
        <is>
          <t>Master</t>
        </is>
      </c>
      <c r="J152" s="2" t="inlineStr">
        <is>
          <t>Bandung</t>
        </is>
      </c>
      <c r="K152" s="3" t="n">
        <v>18283517</v>
      </c>
      <c r="L152" s="2" t="n">
        <v>4.3</v>
      </c>
      <c r="M152" s="2" t="n">
        <v>7</v>
      </c>
      <c r="N152" s="2" t="inlineStr">
        <is>
          <t>Active</t>
        </is>
      </c>
    </row>
    <row r="153">
      <c r="A153" s="4" t="inlineStr">
        <is>
          <t>EMP0152</t>
        </is>
      </c>
      <c r="B153" s="4" t="inlineStr">
        <is>
          <t>Lina Utama</t>
        </is>
      </c>
      <c r="C153" s="4" t="inlineStr">
        <is>
          <t>Female</t>
        </is>
      </c>
      <c r="D153" s="4" t="inlineStr">
        <is>
          <t>R&amp;D</t>
        </is>
      </c>
      <c r="E153" s="4" t="inlineStr">
        <is>
          <t>Senior</t>
        </is>
      </c>
      <c r="F153" s="4" t="inlineStr">
        <is>
          <t>Full-Time</t>
        </is>
      </c>
      <c r="G153" s="4" t="inlineStr">
        <is>
          <t>2018-12-25</t>
        </is>
      </c>
      <c r="H153" s="4" t="n">
        <v>29</v>
      </c>
      <c r="I153" s="4" t="inlineStr">
        <is>
          <t>High School</t>
        </is>
      </c>
      <c r="J153" s="4" t="inlineStr">
        <is>
          <t>Makassar</t>
        </is>
      </c>
      <c r="K153" s="5" t="n">
        <v>9043291</v>
      </c>
      <c r="L153" s="4" t="n">
        <v>4.4</v>
      </c>
      <c r="M153" s="4" t="n">
        <v>6</v>
      </c>
      <c r="N153" s="4" t="inlineStr">
        <is>
          <t>Inactive</t>
        </is>
      </c>
    </row>
    <row r="154">
      <c r="A154" s="2" t="inlineStr">
        <is>
          <t>EMP0153</t>
        </is>
      </c>
      <c r="B154" s="2" t="inlineStr">
        <is>
          <t>Fajar Utama</t>
        </is>
      </c>
      <c r="C154" s="2" t="inlineStr">
        <is>
          <t>Male</t>
        </is>
      </c>
      <c r="D154" s="2" t="inlineStr">
        <is>
          <t>Finance</t>
        </is>
      </c>
      <c r="E154" s="2" t="inlineStr">
        <is>
          <t>Staff</t>
        </is>
      </c>
      <c r="F154" s="2" t="inlineStr">
        <is>
          <t>Full-Time</t>
        </is>
      </c>
      <c r="G154" s="2" t="inlineStr">
        <is>
          <t>2022-10-22</t>
        </is>
      </c>
      <c r="H154" s="2" t="n">
        <v>25</v>
      </c>
      <c r="I154" s="2" t="inlineStr">
        <is>
          <t>Bachelor</t>
        </is>
      </c>
      <c r="J154" s="2" t="inlineStr">
        <is>
          <t>Jakarta</t>
        </is>
      </c>
      <c r="K154" s="3" t="n">
        <v>4502548</v>
      </c>
      <c r="L154" s="2" t="n">
        <v>3.1</v>
      </c>
      <c r="M154" s="2" t="n">
        <v>2</v>
      </c>
      <c r="N154" s="2" t="inlineStr">
        <is>
          <t>Active</t>
        </is>
      </c>
    </row>
    <row r="155">
      <c r="A155" s="4" t="inlineStr">
        <is>
          <t>EMP0154</t>
        </is>
      </c>
      <c r="B155" s="4" t="inlineStr">
        <is>
          <t>Rizki Kusuma</t>
        </is>
      </c>
      <c r="C155" s="4" t="inlineStr">
        <is>
          <t>Male</t>
        </is>
      </c>
      <c r="D155" s="4" t="inlineStr">
        <is>
          <t>Marketing</t>
        </is>
      </c>
      <c r="E155" s="4" t="inlineStr">
        <is>
          <t>Director</t>
        </is>
      </c>
      <c r="F155" s="4" t="inlineStr">
        <is>
          <t>Full-Time</t>
        </is>
      </c>
      <c r="G155" s="4" t="inlineStr">
        <is>
          <t>2020-04-10</t>
        </is>
      </c>
      <c r="H155" s="4" t="n">
        <v>31</v>
      </c>
      <c r="I155" s="4" t="inlineStr">
        <is>
          <t>PhD</t>
        </is>
      </c>
      <c r="J155" s="4" t="inlineStr">
        <is>
          <t>Bali</t>
        </is>
      </c>
      <c r="K155" s="5" t="n">
        <v>26747299</v>
      </c>
      <c r="L155" s="4" t="n">
        <v>3.3</v>
      </c>
      <c r="M155" s="4" t="n">
        <v>4</v>
      </c>
      <c r="N155" s="4" t="inlineStr">
        <is>
          <t>Active</t>
        </is>
      </c>
    </row>
    <row r="156">
      <c r="A156" s="2" t="inlineStr">
        <is>
          <t>EMP0155</t>
        </is>
      </c>
      <c r="B156" s="2" t="inlineStr">
        <is>
          <t>Wahyu Susanto</t>
        </is>
      </c>
      <c r="C156" s="2" t="inlineStr">
        <is>
          <t>Male</t>
        </is>
      </c>
      <c r="D156" s="2" t="inlineStr">
        <is>
          <t>Operations</t>
        </is>
      </c>
      <c r="E156" s="2" t="inlineStr">
        <is>
          <t>Senior</t>
        </is>
      </c>
      <c r="F156" s="2" t="inlineStr">
        <is>
          <t>Contract</t>
        </is>
      </c>
      <c r="G156" s="2" t="inlineStr">
        <is>
          <t>2021-09-11</t>
        </is>
      </c>
      <c r="H156" s="2" t="n">
        <v>48</v>
      </c>
      <c r="I156" s="2" t="inlineStr">
        <is>
          <t>Bachelor</t>
        </is>
      </c>
      <c r="J156" s="2" t="inlineStr">
        <is>
          <t>Bandung</t>
        </is>
      </c>
      <c r="K156" s="3" t="n">
        <v>8947035</v>
      </c>
      <c r="L156" s="2" t="n">
        <v>4.4</v>
      </c>
      <c r="M156" s="2" t="n">
        <v>3</v>
      </c>
      <c r="N156" s="2" t="inlineStr">
        <is>
          <t>Active</t>
        </is>
      </c>
    </row>
    <row r="157">
      <c r="A157" s="4" t="inlineStr">
        <is>
          <t>EMP0156</t>
        </is>
      </c>
      <c r="B157" s="4" t="inlineStr">
        <is>
          <t>Dimas Pratama</t>
        </is>
      </c>
      <c r="C157" s="4" t="inlineStr">
        <is>
          <t>Male</t>
        </is>
      </c>
      <c r="D157" s="4" t="inlineStr">
        <is>
          <t>R&amp;D</t>
        </is>
      </c>
      <c r="E157" s="4" t="inlineStr">
        <is>
          <t>Staff</t>
        </is>
      </c>
      <c r="F157" s="4" t="inlineStr">
        <is>
          <t>Full-Time</t>
        </is>
      </c>
      <c r="G157" s="4" t="inlineStr">
        <is>
          <t>2021-09-17</t>
        </is>
      </c>
      <c r="H157" s="4" t="n">
        <v>30</v>
      </c>
      <c r="I157" s="4" t="inlineStr">
        <is>
          <t>Bachelor</t>
        </is>
      </c>
      <c r="J157" s="4" t="inlineStr">
        <is>
          <t>Bandung</t>
        </is>
      </c>
      <c r="K157" s="5" t="n">
        <v>4278753</v>
      </c>
      <c r="L157" s="4" t="n">
        <v>4.1</v>
      </c>
      <c r="M157" s="4" t="n">
        <v>3</v>
      </c>
      <c r="N157" s="4" t="inlineStr">
        <is>
          <t>Inactive</t>
        </is>
      </c>
    </row>
    <row r="158">
      <c r="A158" s="2" t="inlineStr">
        <is>
          <t>EMP0157</t>
        </is>
      </c>
      <c r="B158" s="2" t="inlineStr">
        <is>
          <t>Dewi Utama</t>
        </is>
      </c>
      <c r="C158" s="2" t="inlineStr">
        <is>
          <t>Female</t>
        </is>
      </c>
      <c r="D158" s="2" t="inlineStr">
        <is>
          <t>Operations</t>
        </is>
      </c>
      <c r="E158" s="2" t="inlineStr">
        <is>
          <t>Senior</t>
        </is>
      </c>
      <c r="F158" s="2" t="inlineStr">
        <is>
          <t>Full-Time</t>
        </is>
      </c>
      <c r="G158" s="2" t="inlineStr">
        <is>
          <t>2015-02-07</t>
        </is>
      </c>
      <c r="H158" s="2" t="n">
        <v>57</v>
      </c>
      <c r="I158" s="2" t="inlineStr">
        <is>
          <t>Bachelor</t>
        </is>
      </c>
      <c r="J158" s="2" t="inlineStr">
        <is>
          <t>Surabaya</t>
        </is>
      </c>
      <c r="K158" s="3" t="n">
        <v>10056316</v>
      </c>
      <c r="L158" s="2" t="n">
        <v>3.3</v>
      </c>
      <c r="M158" s="2" t="n">
        <v>9</v>
      </c>
      <c r="N158" s="2" t="inlineStr">
        <is>
          <t>Inactive</t>
        </is>
      </c>
    </row>
    <row r="159">
      <c r="A159" s="4" t="inlineStr">
        <is>
          <t>EMP0158</t>
        </is>
      </c>
      <c r="B159" s="4" t="inlineStr">
        <is>
          <t>Fajar Utama</t>
        </is>
      </c>
      <c r="C159" s="4" t="inlineStr">
        <is>
          <t>Male</t>
        </is>
      </c>
      <c r="D159" s="4" t="inlineStr">
        <is>
          <t>Finance</t>
        </is>
      </c>
      <c r="E159" s="4" t="inlineStr">
        <is>
          <t>Director</t>
        </is>
      </c>
      <c r="F159" s="4" t="inlineStr">
        <is>
          <t>Contract</t>
        </is>
      </c>
      <c r="G159" s="4" t="inlineStr">
        <is>
          <t>2022-04-23</t>
        </is>
      </c>
      <c r="H159" s="4" t="n">
        <v>35</v>
      </c>
      <c r="I159" s="4" t="inlineStr">
        <is>
          <t>Bachelor</t>
        </is>
      </c>
      <c r="J159" s="4" t="inlineStr">
        <is>
          <t>Surabaya</t>
        </is>
      </c>
      <c r="K159" s="5" t="n">
        <v>29064555</v>
      </c>
      <c r="L159" s="4" t="n">
        <v>4.4</v>
      </c>
      <c r="M159" s="4" t="n">
        <v>2</v>
      </c>
      <c r="N159" s="4" t="inlineStr">
        <is>
          <t>Active</t>
        </is>
      </c>
    </row>
    <row r="160">
      <c r="A160" s="2" t="inlineStr">
        <is>
          <t>EMP0159</t>
        </is>
      </c>
      <c r="B160" s="2" t="inlineStr">
        <is>
          <t>Putri Kusuma</t>
        </is>
      </c>
      <c r="C160" s="2" t="inlineStr">
        <is>
          <t>Female</t>
        </is>
      </c>
      <c r="D160" s="2" t="inlineStr">
        <is>
          <t>Sales</t>
        </is>
      </c>
      <c r="E160" s="2" t="inlineStr">
        <is>
          <t>Manager</t>
        </is>
      </c>
      <c r="F160" s="2" t="inlineStr">
        <is>
          <t>Contract</t>
        </is>
      </c>
      <c r="G160" s="2" t="inlineStr">
        <is>
          <t>2022-02-26</t>
        </is>
      </c>
      <c r="H160" s="2" t="n">
        <v>52</v>
      </c>
      <c r="I160" s="2" t="inlineStr">
        <is>
          <t>Master</t>
        </is>
      </c>
      <c r="J160" s="2" t="inlineStr">
        <is>
          <t>Bandung</t>
        </is>
      </c>
      <c r="K160" s="3" t="n">
        <v>20314487</v>
      </c>
      <c r="L160" s="2" t="n">
        <v>3.4</v>
      </c>
      <c r="M160" s="2" t="n">
        <v>2</v>
      </c>
      <c r="N160" s="2" t="inlineStr">
        <is>
          <t>Active</t>
        </is>
      </c>
    </row>
    <row r="161">
      <c r="A161" s="4" t="inlineStr">
        <is>
          <t>EMP0160</t>
        </is>
      </c>
      <c r="B161" s="4" t="inlineStr">
        <is>
          <t>Rizki Santoso</t>
        </is>
      </c>
      <c r="C161" s="4" t="inlineStr">
        <is>
          <t>Male</t>
        </is>
      </c>
      <c r="D161" s="4" t="inlineStr">
        <is>
          <t>IT</t>
        </is>
      </c>
      <c r="E161" s="4" t="inlineStr">
        <is>
          <t>Manager</t>
        </is>
      </c>
      <c r="F161" s="4" t="inlineStr">
        <is>
          <t>Contract</t>
        </is>
      </c>
      <c r="G161" s="4" t="inlineStr">
        <is>
          <t>2021-05-05</t>
        </is>
      </c>
      <c r="H161" s="4" t="n">
        <v>34</v>
      </c>
      <c r="I161" s="4" t="inlineStr">
        <is>
          <t>Bachelor</t>
        </is>
      </c>
      <c r="J161" s="4" t="inlineStr">
        <is>
          <t>Medan</t>
        </is>
      </c>
      <c r="K161" s="5" t="n">
        <v>18764052</v>
      </c>
      <c r="L161" s="4" t="n">
        <v>3.1</v>
      </c>
      <c r="M161" s="4" t="n">
        <v>3</v>
      </c>
      <c r="N161" s="4" t="inlineStr">
        <is>
          <t>Active</t>
        </is>
      </c>
    </row>
    <row r="162">
      <c r="A162" s="2" t="inlineStr">
        <is>
          <t>EMP0161</t>
        </is>
      </c>
      <c r="B162" s="2" t="inlineStr">
        <is>
          <t>Putri Susanto</t>
        </is>
      </c>
      <c r="C162" s="2" t="inlineStr">
        <is>
          <t>Female</t>
        </is>
      </c>
      <c r="D162" s="2" t="inlineStr">
        <is>
          <t>R&amp;D</t>
        </is>
      </c>
      <c r="E162" s="2" t="inlineStr">
        <is>
          <t>Supervisor</t>
        </is>
      </c>
      <c r="F162" s="2" t="inlineStr">
        <is>
          <t>Full-Time</t>
        </is>
      </c>
      <c r="G162" s="2" t="inlineStr">
        <is>
          <t>2020-03-05</t>
        </is>
      </c>
      <c r="H162" s="2" t="n">
        <v>56</v>
      </c>
      <c r="I162" s="2" t="inlineStr">
        <is>
          <t>Bachelor</t>
        </is>
      </c>
      <c r="J162" s="2" t="inlineStr">
        <is>
          <t>Bali</t>
        </is>
      </c>
      <c r="K162" s="3" t="n">
        <v>13770970</v>
      </c>
      <c r="L162" s="2" t="n">
        <v>4.9</v>
      </c>
      <c r="M162" s="2" t="n">
        <v>4</v>
      </c>
      <c r="N162" s="2" t="inlineStr">
        <is>
          <t>Active</t>
        </is>
      </c>
    </row>
    <row r="163">
      <c r="A163" s="4" t="inlineStr">
        <is>
          <t>EMP0162</t>
        </is>
      </c>
      <c r="B163" s="4" t="inlineStr">
        <is>
          <t>Budi Santoso</t>
        </is>
      </c>
      <c r="C163" s="4" t="inlineStr">
        <is>
          <t>Male</t>
        </is>
      </c>
      <c r="D163" s="4" t="inlineStr">
        <is>
          <t>Legal</t>
        </is>
      </c>
      <c r="E163" s="4" t="inlineStr">
        <is>
          <t>Junior</t>
        </is>
      </c>
      <c r="F163" s="4" t="inlineStr">
        <is>
          <t>Part-Time</t>
        </is>
      </c>
      <c r="G163" s="4" t="inlineStr">
        <is>
          <t>2018-02-23</t>
        </is>
      </c>
      <c r="H163" s="4" t="n">
        <v>31</v>
      </c>
      <c r="I163" s="4" t="inlineStr">
        <is>
          <t>High School</t>
        </is>
      </c>
      <c r="J163" s="4" t="inlineStr">
        <is>
          <t>Bali</t>
        </is>
      </c>
      <c r="K163" s="5" t="n">
        <v>6084014</v>
      </c>
      <c r="L163" s="4" t="n">
        <v>2.7</v>
      </c>
      <c r="M163" s="4" t="n">
        <v>6</v>
      </c>
      <c r="N163" s="4" t="inlineStr">
        <is>
          <t>Active</t>
        </is>
      </c>
    </row>
    <row r="164">
      <c r="A164" s="2" t="inlineStr">
        <is>
          <t>EMP0163</t>
        </is>
      </c>
      <c r="B164" s="2" t="inlineStr">
        <is>
          <t>Maya Santoso</t>
        </is>
      </c>
      <c r="C164" s="2" t="inlineStr">
        <is>
          <t>Female</t>
        </is>
      </c>
      <c r="D164" s="2" t="inlineStr">
        <is>
          <t>Operations</t>
        </is>
      </c>
      <c r="E164" s="2" t="inlineStr">
        <is>
          <t>Manager</t>
        </is>
      </c>
      <c r="F164" s="2" t="inlineStr">
        <is>
          <t>Full-Time</t>
        </is>
      </c>
      <c r="G164" s="2" t="inlineStr">
        <is>
          <t>2015-01-17</t>
        </is>
      </c>
      <c r="H164" s="2" t="n">
        <v>39</v>
      </c>
      <c r="I164" s="2" t="inlineStr">
        <is>
          <t>Bachelor</t>
        </is>
      </c>
      <c r="J164" s="2" t="inlineStr">
        <is>
          <t>Bandung</t>
        </is>
      </c>
      <c r="K164" s="3" t="n">
        <v>16277141</v>
      </c>
      <c r="L164" s="2" t="n">
        <v>4.5</v>
      </c>
      <c r="M164" s="2" t="n">
        <v>9</v>
      </c>
      <c r="N164" s="2" t="inlineStr">
        <is>
          <t>Active</t>
        </is>
      </c>
    </row>
    <row r="165">
      <c r="A165" s="4" t="inlineStr">
        <is>
          <t>EMP0164</t>
        </is>
      </c>
      <c r="B165" s="4" t="inlineStr">
        <is>
          <t>Andi Wijaya</t>
        </is>
      </c>
      <c r="C165" s="4" t="inlineStr">
        <is>
          <t>Male</t>
        </is>
      </c>
      <c r="D165" s="4" t="inlineStr">
        <is>
          <t>HR</t>
        </is>
      </c>
      <c r="E165" s="4" t="inlineStr">
        <is>
          <t>Junior</t>
        </is>
      </c>
      <c r="F165" s="4" t="inlineStr">
        <is>
          <t>Full-Time</t>
        </is>
      </c>
      <c r="G165" s="4" t="inlineStr">
        <is>
          <t>2023-05-27</t>
        </is>
      </c>
      <c r="H165" s="4" t="n">
        <v>44</v>
      </c>
      <c r="I165" s="4" t="inlineStr">
        <is>
          <t>Bachelor</t>
        </is>
      </c>
      <c r="J165" s="4" t="inlineStr">
        <is>
          <t>Medan</t>
        </is>
      </c>
      <c r="K165" s="5" t="n">
        <v>5518528</v>
      </c>
      <c r="L165" s="4" t="n">
        <v>4.9</v>
      </c>
      <c r="M165" s="4" t="n">
        <v>1</v>
      </c>
      <c r="N165" s="4" t="inlineStr">
        <is>
          <t>Active</t>
        </is>
      </c>
    </row>
    <row r="166">
      <c r="A166" s="2" t="inlineStr">
        <is>
          <t>EMP0165</t>
        </is>
      </c>
      <c r="B166" s="2" t="inlineStr">
        <is>
          <t>Fajar Kusuma</t>
        </is>
      </c>
      <c r="C166" s="2" t="inlineStr">
        <is>
          <t>Male</t>
        </is>
      </c>
      <c r="D166" s="2" t="inlineStr">
        <is>
          <t>Finance</t>
        </is>
      </c>
      <c r="E166" s="2" t="inlineStr">
        <is>
          <t>Director</t>
        </is>
      </c>
      <c r="F166" s="2" t="inlineStr">
        <is>
          <t>Contract</t>
        </is>
      </c>
      <c r="G166" s="2" t="inlineStr">
        <is>
          <t>2015-02-13</t>
        </is>
      </c>
      <c r="H166" s="2" t="n">
        <v>46</v>
      </c>
      <c r="I166" s="2" t="inlineStr">
        <is>
          <t>Bachelor</t>
        </is>
      </c>
      <c r="J166" s="2" t="inlineStr">
        <is>
          <t>Medan</t>
        </is>
      </c>
      <c r="K166" s="3" t="n">
        <v>25592804</v>
      </c>
      <c r="L166" s="2" t="n">
        <v>2.5</v>
      </c>
      <c r="M166" s="2" t="n">
        <v>9</v>
      </c>
      <c r="N166" s="2" t="inlineStr">
        <is>
          <t>Active</t>
        </is>
      </c>
    </row>
    <row r="167">
      <c r="A167" s="4" t="inlineStr">
        <is>
          <t>EMP0166</t>
        </is>
      </c>
      <c r="B167" s="4" t="inlineStr">
        <is>
          <t>Nita Rahmat</t>
        </is>
      </c>
      <c r="C167" s="4" t="inlineStr">
        <is>
          <t>Female</t>
        </is>
      </c>
      <c r="D167" s="4" t="inlineStr">
        <is>
          <t>Finance</t>
        </is>
      </c>
      <c r="E167" s="4" t="inlineStr">
        <is>
          <t>Manager</t>
        </is>
      </c>
      <c r="F167" s="4" t="inlineStr">
        <is>
          <t>Contract</t>
        </is>
      </c>
      <c r="G167" s="4" t="inlineStr">
        <is>
          <t>2018-04-28</t>
        </is>
      </c>
      <c r="H167" s="4" t="n">
        <v>58</v>
      </c>
      <c r="I167" s="4" t="inlineStr">
        <is>
          <t>Bachelor</t>
        </is>
      </c>
      <c r="J167" s="4" t="inlineStr">
        <is>
          <t>Jakarta</t>
        </is>
      </c>
      <c r="K167" s="5" t="n">
        <v>20358716</v>
      </c>
      <c r="L167" s="4" t="n">
        <v>4.2</v>
      </c>
      <c r="M167" s="4" t="n">
        <v>6</v>
      </c>
      <c r="N167" s="4" t="inlineStr">
        <is>
          <t>Active</t>
        </is>
      </c>
    </row>
    <row r="168">
      <c r="A168" s="2" t="inlineStr">
        <is>
          <t>EMP0167</t>
        </is>
      </c>
      <c r="B168" s="2" t="inlineStr">
        <is>
          <t>Rizki Rahmat</t>
        </is>
      </c>
      <c r="C168" s="2" t="inlineStr">
        <is>
          <t>Male</t>
        </is>
      </c>
      <c r="D168" s="2" t="inlineStr">
        <is>
          <t>Operations</t>
        </is>
      </c>
      <c r="E168" s="2" t="inlineStr">
        <is>
          <t>Junior</t>
        </is>
      </c>
      <c r="F168" s="2" t="inlineStr">
        <is>
          <t>Full-Time</t>
        </is>
      </c>
      <c r="G168" s="2" t="inlineStr">
        <is>
          <t>2021-02-10</t>
        </is>
      </c>
      <c r="H168" s="2" t="n">
        <v>32</v>
      </c>
      <c r="I168" s="2" t="inlineStr">
        <is>
          <t>Bachelor</t>
        </is>
      </c>
      <c r="J168" s="2" t="inlineStr">
        <is>
          <t>Bali</t>
        </is>
      </c>
      <c r="K168" s="3" t="n">
        <v>6651975</v>
      </c>
      <c r="L168" s="2" t="n">
        <v>3.5</v>
      </c>
      <c r="M168" s="2" t="n">
        <v>3</v>
      </c>
      <c r="N168" s="2" t="inlineStr">
        <is>
          <t>Inactive</t>
        </is>
      </c>
    </row>
    <row r="169">
      <c r="A169" s="4" t="inlineStr">
        <is>
          <t>EMP0168</t>
        </is>
      </c>
      <c r="B169" s="4" t="inlineStr">
        <is>
          <t>Nita Pratama</t>
        </is>
      </c>
      <c r="C169" s="4" t="inlineStr">
        <is>
          <t>Female</t>
        </is>
      </c>
      <c r="D169" s="4" t="inlineStr">
        <is>
          <t>Finance</t>
        </is>
      </c>
      <c r="E169" s="4" t="inlineStr">
        <is>
          <t>Manager</t>
        </is>
      </c>
      <c r="F169" s="4" t="inlineStr">
        <is>
          <t>Part-Time</t>
        </is>
      </c>
      <c r="G169" s="4" t="inlineStr">
        <is>
          <t>2020-01-04</t>
        </is>
      </c>
      <c r="H169" s="4" t="n">
        <v>49</v>
      </c>
      <c r="I169" s="4" t="inlineStr">
        <is>
          <t>Bachelor</t>
        </is>
      </c>
      <c r="J169" s="4" t="inlineStr">
        <is>
          <t>Jakarta</t>
        </is>
      </c>
      <c r="K169" s="5" t="n">
        <v>17732667</v>
      </c>
      <c r="L169" s="4" t="n">
        <v>4.4</v>
      </c>
      <c r="M169" s="4" t="n">
        <v>4</v>
      </c>
      <c r="N169" s="4" t="inlineStr">
        <is>
          <t>Inactive</t>
        </is>
      </c>
    </row>
    <row r="170">
      <c r="A170" s="2" t="inlineStr">
        <is>
          <t>EMP0169</t>
        </is>
      </c>
      <c r="B170" s="2" t="inlineStr">
        <is>
          <t>Ayu Santoso</t>
        </is>
      </c>
      <c r="C170" s="2" t="inlineStr">
        <is>
          <t>Female</t>
        </is>
      </c>
      <c r="D170" s="2" t="inlineStr">
        <is>
          <t>IT</t>
        </is>
      </c>
      <c r="E170" s="2" t="inlineStr">
        <is>
          <t>Supervisor</t>
        </is>
      </c>
      <c r="F170" s="2" t="inlineStr">
        <is>
          <t>Full-Time</t>
        </is>
      </c>
      <c r="G170" s="2" t="inlineStr">
        <is>
          <t>2020-09-13</t>
        </is>
      </c>
      <c r="H170" s="2" t="n">
        <v>49</v>
      </c>
      <c r="I170" s="2" t="inlineStr">
        <is>
          <t>Bachelor</t>
        </is>
      </c>
      <c r="J170" s="2" t="inlineStr">
        <is>
          <t>Bali</t>
        </is>
      </c>
      <c r="K170" s="3" t="n">
        <v>12782015</v>
      </c>
      <c r="L170" s="2" t="n">
        <v>2.7</v>
      </c>
      <c r="M170" s="2" t="n">
        <v>4</v>
      </c>
      <c r="N170" s="2" t="inlineStr">
        <is>
          <t>Active</t>
        </is>
      </c>
    </row>
    <row r="171">
      <c r="A171" s="4" t="inlineStr">
        <is>
          <t>EMP0170</t>
        </is>
      </c>
      <c r="B171" s="4" t="inlineStr">
        <is>
          <t>Andi Wijaya</t>
        </is>
      </c>
      <c r="C171" s="4" t="inlineStr">
        <is>
          <t>Male</t>
        </is>
      </c>
      <c r="D171" s="4" t="inlineStr">
        <is>
          <t>IT</t>
        </is>
      </c>
      <c r="E171" s="4" t="inlineStr">
        <is>
          <t>Junior</t>
        </is>
      </c>
      <c r="F171" s="4" t="inlineStr">
        <is>
          <t>Full-Time</t>
        </is>
      </c>
      <c r="G171" s="4" t="inlineStr">
        <is>
          <t>2017-12-13</t>
        </is>
      </c>
      <c r="H171" s="4" t="n">
        <v>42</v>
      </c>
      <c r="I171" s="4" t="inlineStr">
        <is>
          <t>Bachelor</t>
        </is>
      </c>
      <c r="J171" s="4" t="inlineStr">
        <is>
          <t>Jakarta</t>
        </is>
      </c>
      <c r="K171" s="5" t="n">
        <v>5407792</v>
      </c>
      <c r="L171" s="4" t="n">
        <v>3.3</v>
      </c>
      <c r="M171" s="4" t="n">
        <v>7</v>
      </c>
      <c r="N171" s="4" t="inlineStr">
        <is>
          <t>Active</t>
        </is>
      </c>
    </row>
    <row r="172">
      <c r="A172" s="2" t="inlineStr">
        <is>
          <t>EMP0171</t>
        </is>
      </c>
      <c r="B172" s="2" t="inlineStr">
        <is>
          <t>Dewi Pratama</t>
        </is>
      </c>
      <c r="C172" s="2" t="inlineStr">
        <is>
          <t>Female</t>
        </is>
      </c>
      <c r="D172" s="2" t="inlineStr">
        <is>
          <t>Finance</t>
        </is>
      </c>
      <c r="E172" s="2" t="inlineStr">
        <is>
          <t>Junior</t>
        </is>
      </c>
      <c r="F172" s="2" t="inlineStr">
        <is>
          <t>Full-Time</t>
        </is>
      </c>
      <c r="G172" s="2" t="inlineStr">
        <is>
          <t>2023-09-17</t>
        </is>
      </c>
      <c r="H172" s="2" t="n">
        <v>48</v>
      </c>
      <c r="I172" s="2" t="inlineStr">
        <is>
          <t>Diploma</t>
        </is>
      </c>
      <c r="J172" s="2" t="inlineStr">
        <is>
          <t>Jakarta</t>
        </is>
      </c>
      <c r="K172" s="3" t="n">
        <v>5930871</v>
      </c>
      <c r="L172" s="2" t="n">
        <v>2.7</v>
      </c>
      <c r="M172" s="2" t="n">
        <v>1</v>
      </c>
      <c r="N172" s="2" t="inlineStr">
        <is>
          <t>Active</t>
        </is>
      </c>
    </row>
    <row r="173">
      <c r="A173" s="4" t="inlineStr">
        <is>
          <t>EMP0172</t>
        </is>
      </c>
      <c r="B173" s="4" t="inlineStr">
        <is>
          <t>Nita Santoso</t>
        </is>
      </c>
      <c r="C173" s="4" t="inlineStr">
        <is>
          <t>Female</t>
        </is>
      </c>
      <c r="D173" s="4" t="inlineStr">
        <is>
          <t>IT</t>
        </is>
      </c>
      <c r="E173" s="4" t="inlineStr">
        <is>
          <t>Supervisor</t>
        </is>
      </c>
      <c r="F173" s="4" t="inlineStr">
        <is>
          <t>Full-Time</t>
        </is>
      </c>
      <c r="G173" s="4" t="inlineStr">
        <is>
          <t>2016-12-18</t>
        </is>
      </c>
      <c r="H173" s="4" t="n">
        <v>37</v>
      </c>
      <c r="I173" s="4" t="inlineStr">
        <is>
          <t>Bachelor</t>
        </is>
      </c>
      <c r="J173" s="4" t="inlineStr">
        <is>
          <t>Surabaya</t>
        </is>
      </c>
      <c r="K173" s="5" t="n">
        <v>12855947</v>
      </c>
      <c r="L173" s="4" t="n">
        <v>2.9</v>
      </c>
      <c r="M173" s="4" t="n">
        <v>8</v>
      </c>
      <c r="N173" s="4" t="inlineStr">
        <is>
          <t>Active</t>
        </is>
      </c>
    </row>
    <row r="174">
      <c r="A174" s="2" t="inlineStr">
        <is>
          <t>EMP0173</t>
        </is>
      </c>
      <c r="B174" s="2" t="inlineStr">
        <is>
          <t>Maya Pratama</t>
        </is>
      </c>
      <c r="C174" s="2" t="inlineStr">
        <is>
          <t>Female</t>
        </is>
      </c>
      <c r="D174" s="2" t="inlineStr">
        <is>
          <t>Finance</t>
        </is>
      </c>
      <c r="E174" s="2" t="inlineStr">
        <is>
          <t>Junior</t>
        </is>
      </c>
      <c r="F174" s="2" t="inlineStr">
        <is>
          <t>Full-Time</t>
        </is>
      </c>
      <c r="G174" s="2" t="inlineStr">
        <is>
          <t>2021-05-16</t>
        </is>
      </c>
      <c r="H174" s="2" t="n">
        <v>26</v>
      </c>
      <c r="I174" s="2" t="inlineStr">
        <is>
          <t>Bachelor</t>
        </is>
      </c>
      <c r="J174" s="2" t="inlineStr">
        <is>
          <t>Surabaya</t>
        </is>
      </c>
      <c r="K174" s="3" t="n">
        <v>6481349</v>
      </c>
      <c r="L174" s="2" t="n">
        <v>3.7</v>
      </c>
      <c r="M174" s="2" t="n">
        <v>3</v>
      </c>
      <c r="N174" s="2" t="inlineStr">
        <is>
          <t>Active</t>
        </is>
      </c>
    </row>
    <row r="175">
      <c r="A175" s="4" t="inlineStr">
        <is>
          <t>EMP0174</t>
        </is>
      </c>
      <c r="B175" s="4" t="inlineStr">
        <is>
          <t>Dewi Pratama</t>
        </is>
      </c>
      <c r="C175" s="4" t="inlineStr">
        <is>
          <t>Female</t>
        </is>
      </c>
      <c r="D175" s="4" t="inlineStr">
        <is>
          <t>IT</t>
        </is>
      </c>
      <c r="E175" s="4" t="inlineStr">
        <is>
          <t>Staff</t>
        </is>
      </c>
      <c r="F175" s="4" t="inlineStr">
        <is>
          <t>Contract</t>
        </is>
      </c>
      <c r="G175" s="4" t="inlineStr">
        <is>
          <t>2020-10-13</t>
        </is>
      </c>
      <c r="H175" s="4" t="n">
        <v>43</v>
      </c>
      <c r="I175" s="4" t="inlineStr">
        <is>
          <t>Bachelor</t>
        </is>
      </c>
      <c r="J175" s="4" t="inlineStr">
        <is>
          <t>Medan</t>
        </is>
      </c>
      <c r="K175" s="5" t="n">
        <v>4967409</v>
      </c>
      <c r="L175" s="4" t="n">
        <v>4.6</v>
      </c>
      <c r="M175" s="4" t="n">
        <v>4</v>
      </c>
      <c r="N175" s="4" t="inlineStr">
        <is>
          <t>Inactive</t>
        </is>
      </c>
    </row>
    <row r="176">
      <c r="A176" s="2" t="inlineStr">
        <is>
          <t>EMP0175</t>
        </is>
      </c>
      <c r="B176" s="2" t="inlineStr">
        <is>
          <t>Dimas Rahmat</t>
        </is>
      </c>
      <c r="C176" s="2" t="inlineStr">
        <is>
          <t>Male</t>
        </is>
      </c>
      <c r="D176" s="2" t="inlineStr">
        <is>
          <t>Marketing</t>
        </is>
      </c>
      <c r="E176" s="2" t="inlineStr">
        <is>
          <t>Supervisor</t>
        </is>
      </c>
      <c r="F176" s="2" t="inlineStr">
        <is>
          <t>Full-Time</t>
        </is>
      </c>
      <c r="G176" s="2" t="inlineStr">
        <is>
          <t>2021-06-10</t>
        </is>
      </c>
      <c r="H176" s="2" t="n">
        <v>53</v>
      </c>
      <c r="I176" s="2" t="inlineStr">
        <is>
          <t>PhD</t>
        </is>
      </c>
      <c r="J176" s="2" t="inlineStr">
        <is>
          <t>Semarang</t>
        </is>
      </c>
      <c r="K176" s="3" t="n">
        <v>11527272</v>
      </c>
      <c r="L176" s="2" t="n">
        <v>3.4</v>
      </c>
      <c r="M176" s="2" t="n">
        <v>3</v>
      </c>
      <c r="N176" s="2" t="inlineStr">
        <is>
          <t>Active</t>
        </is>
      </c>
    </row>
    <row r="177">
      <c r="A177" s="4" t="inlineStr">
        <is>
          <t>EMP0176</t>
        </is>
      </c>
      <c r="B177" s="4" t="inlineStr">
        <is>
          <t>Ayu Wijaya</t>
        </is>
      </c>
      <c r="C177" s="4" t="inlineStr">
        <is>
          <t>Female</t>
        </is>
      </c>
      <c r="D177" s="4" t="inlineStr">
        <is>
          <t>Marketing</t>
        </is>
      </c>
      <c r="E177" s="4" t="inlineStr">
        <is>
          <t>Manager</t>
        </is>
      </c>
      <c r="F177" s="4" t="inlineStr">
        <is>
          <t>Contract</t>
        </is>
      </c>
      <c r="G177" s="4" t="inlineStr">
        <is>
          <t>2017-11-25</t>
        </is>
      </c>
      <c r="H177" s="4" t="n">
        <v>57</v>
      </c>
      <c r="I177" s="4" t="inlineStr">
        <is>
          <t>High School</t>
        </is>
      </c>
      <c r="J177" s="4" t="inlineStr">
        <is>
          <t>Makassar</t>
        </is>
      </c>
      <c r="K177" s="5" t="n">
        <v>18277300</v>
      </c>
      <c r="L177" s="4" t="n">
        <v>4.3</v>
      </c>
      <c r="M177" s="4" t="n">
        <v>7</v>
      </c>
      <c r="N177" s="4" t="inlineStr">
        <is>
          <t>Active</t>
        </is>
      </c>
    </row>
    <row r="178">
      <c r="A178" s="2" t="inlineStr">
        <is>
          <t>EMP0177</t>
        </is>
      </c>
      <c r="B178" s="2" t="inlineStr">
        <is>
          <t>Dewi Hidayat</t>
        </is>
      </c>
      <c r="C178" s="2" t="inlineStr">
        <is>
          <t>Female</t>
        </is>
      </c>
      <c r="D178" s="2" t="inlineStr">
        <is>
          <t>R&amp;D</t>
        </is>
      </c>
      <c r="E178" s="2" t="inlineStr">
        <is>
          <t>Junior</t>
        </is>
      </c>
      <c r="F178" s="2" t="inlineStr">
        <is>
          <t>Full-Time</t>
        </is>
      </c>
      <c r="G178" s="2" t="inlineStr">
        <is>
          <t>2018-05-22</t>
        </is>
      </c>
      <c r="H178" s="2" t="n">
        <v>31</v>
      </c>
      <c r="I178" s="2" t="inlineStr">
        <is>
          <t>Master</t>
        </is>
      </c>
      <c r="J178" s="2" t="inlineStr">
        <is>
          <t>Semarang</t>
        </is>
      </c>
      <c r="K178" s="3" t="n">
        <v>5965486</v>
      </c>
      <c r="L178" s="2" t="n">
        <v>3.6</v>
      </c>
      <c r="M178" s="2" t="n">
        <v>6</v>
      </c>
      <c r="N178" s="2" t="inlineStr">
        <is>
          <t>Active</t>
        </is>
      </c>
    </row>
    <row r="179">
      <c r="A179" s="4" t="inlineStr">
        <is>
          <t>EMP0178</t>
        </is>
      </c>
      <c r="B179" s="4" t="inlineStr">
        <is>
          <t>Wulan Hidayat</t>
        </is>
      </c>
      <c r="C179" s="4" t="inlineStr">
        <is>
          <t>Female</t>
        </is>
      </c>
      <c r="D179" s="4" t="inlineStr">
        <is>
          <t>Operations</t>
        </is>
      </c>
      <c r="E179" s="4" t="inlineStr">
        <is>
          <t>Senior</t>
        </is>
      </c>
      <c r="F179" s="4" t="inlineStr">
        <is>
          <t>Part-Time</t>
        </is>
      </c>
      <c r="G179" s="4" t="inlineStr">
        <is>
          <t>2023-10-21</t>
        </is>
      </c>
      <c r="H179" s="4" t="n">
        <v>27</v>
      </c>
      <c r="I179" s="4" t="inlineStr">
        <is>
          <t>Diploma</t>
        </is>
      </c>
      <c r="J179" s="4" t="inlineStr">
        <is>
          <t>Surabaya</t>
        </is>
      </c>
      <c r="K179" s="5" t="n">
        <v>9579603</v>
      </c>
      <c r="L179" s="4" t="n">
        <v>3.4</v>
      </c>
      <c r="M179" s="4" t="n">
        <v>1</v>
      </c>
      <c r="N179" s="4" t="inlineStr">
        <is>
          <t>Active</t>
        </is>
      </c>
    </row>
    <row r="180">
      <c r="A180" s="2" t="inlineStr">
        <is>
          <t>EMP0179</t>
        </is>
      </c>
      <c r="B180" s="2" t="inlineStr">
        <is>
          <t>Eko Hidayat</t>
        </is>
      </c>
      <c r="C180" s="2" t="inlineStr">
        <is>
          <t>Male</t>
        </is>
      </c>
      <c r="D180" s="2" t="inlineStr">
        <is>
          <t>Sales</t>
        </is>
      </c>
      <c r="E180" s="2" t="inlineStr">
        <is>
          <t>Supervisor</t>
        </is>
      </c>
      <c r="F180" s="2" t="inlineStr">
        <is>
          <t>Full-Time</t>
        </is>
      </c>
      <c r="G180" s="2" t="inlineStr">
        <is>
          <t>2016-05-08</t>
        </is>
      </c>
      <c r="H180" s="2" t="n">
        <v>54</v>
      </c>
      <c r="I180" s="2" t="inlineStr">
        <is>
          <t>Master</t>
        </is>
      </c>
      <c r="J180" s="2" t="inlineStr">
        <is>
          <t>Bali</t>
        </is>
      </c>
      <c r="K180" s="3" t="n">
        <v>12541554</v>
      </c>
      <c r="L180" s="2" t="n">
        <v>3.9</v>
      </c>
      <c r="M180" s="2" t="n">
        <v>8</v>
      </c>
      <c r="N180" s="2" t="inlineStr">
        <is>
          <t>Active</t>
        </is>
      </c>
    </row>
    <row r="181">
      <c r="A181" s="4" t="inlineStr">
        <is>
          <t>EMP0180</t>
        </is>
      </c>
      <c r="B181" s="4" t="inlineStr">
        <is>
          <t>Maya Pratama</t>
        </is>
      </c>
      <c r="C181" s="4" t="inlineStr">
        <is>
          <t>Female</t>
        </is>
      </c>
      <c r="D181" s="4" t="inlineStr">
        <is>
          <t>Sales</t>
        </is>
      </c>
      <c r="E181" s="4" t="inlineStr">
        <is>
          <t>Staff</t>
        </is>
      </c>
      <c r="F181" s="4" t="inlineStr">
        <is>
          <t>Full-Time</t>
        </is>
      </c>
      <c r="G181" s="4" t="inlineStr">
        <is>
          <t>2019-07-03</t>
        </is>
      </c>
      <c r="H181" s="4" t="n">
        <v>29</v>
      </c>
      <c r="I181" s="4" t="inlineStr">
        <is>
          <t>Master</t>
        </is>
      </c>
      <c r="J181" s="4" t="inlineStr">
        <is>
          <t>Makassar</t>
        </is>
      </c>
      <c r="K181" s="5" t="n">
        <v>4209384</v>
      </c>
      <c r="L181" s="4" t="n">
        <v>3.3</v>
      </c>
      <c r="M181" s="4" t="n">
        <v>5</v>
      </c>
      <c r="N181" s="4" t="inlineStr">
        <is>
          <t>Active</t>
        </is>
      </c>
    </row>
    <row r="182">
      <c r="A182" s="2" t="inlineStr">
        <is>
          <t>EMP0181</t>
        </is>
      </c>
      <c r="B182" s="2" t="inlineStr">
        <is>
          <t>Bagas Susanto</t>
        </is>
      </c>
      <c r="C182" s="2" t="inlineStr">
        <is>
          <t>Male</t>
        </is>
      </c>
      <c r="D182" s="2" t="inlineStr">
        <is>
          <t>Sales</t>
        </is>
      </c>
      <c r="E182" s="2" t="inlineStr">
        <is>
          <t>Supervisor</t>
        </is>
      </c>
      <c r="F182" s="2" t="inlineStr">
        <is>
          <t>Full-Time</t>
        </is>
      </c>
      <c r="G182" s="2" t="inlineStr">
        <is>
          <t>2022-06-03</t>
        </is>
      </c>
      <c r="H182" s="2" t="n">
        <v>41</v>
      </c>
      <c r="I182" s="2" t="inlineStr">
        <is>
          <t>High School</t>
        </is>
      </c>
      <c r="J182" s="2" t="inlineStr">
        <is>
          <t>Makassar</t>
        </is>
      </c>
      <c r="K182" s="3" t="n">
        <v>11145255</v>
      </c>
      <c r="L182" s="2" t="n">
        <v>4.6</v>
      </c>
      <c r="M182" s="2" t="n">
        <v>2</v>
      </c>
      <c r="N182" s="2" t="inlineStr">
        <is>
          <t>Active</t>
        </is>
      </c>
    </row>
    <row r="183">
      <c r="A183" s="4" t="inlineStr">
        <is>
          <t>EMP0182</t>
        </is>
      </c>
      <c r="B183" s="4" t="inlineStr">
        <is>
          <t>Fajar Pratama</t>
        </is>
      </c>
      <c r="C183" s="4" t="inlineStr">
        <is>
          <t>Male</t>
        </is>
      </c>
      <c r="D183" s="4" t="inlineStr">
        <is>
          <t>HR</t>
        </is>
      </c>
      <c r="E183" s="4" t="inlineStr">
        <is>
          <t>Senior</t>
        </is>
      </c>
      <c r="F183" s="4" t="inlineStr">
        <is>
          <t>Full-Time</t>
        </is>
      </c>
      <c r="G183" s="4" t="inlineStr">
        <is>
          <t>2022-04-26</t>
        </is>
      </c>
      <c r="H183" s="4" t="n">
        <v>47</v>
      </c>
      <c r="I183" s="4" t="inlineStr">
        <is>
          <t>Bachelor</t>
        </is>
      </c>
      <c r="J183" s="4" t="inlineStr">
        <is>
          <t>Surabaya</t>
        </is>
      </c>
      <c r="K183" s="5" t="n">
        <v>9541077</v>
      </c>
      <c r="L183" s="4" t="n">
        <v>3.6</v>
      </c>
      <c r="M183" s="4" t="n">
        <v>2</v>
      </c>
      <c r="N183" s="4" t="inlineStr">
        <is>
          <t>Active</t>
        </is>
      </c>
    </row>
    <row r="184">
      <c r="A184" s="2" t="inlineStr">
        <is>
          <t>EMP0183</t>
        </is>
      </c>
      <c r="B184" s="2" t="inlineStr">
        <is>
          <t>Arif Hidayat</t>
        </is>
      </c>
      <c r="C184" s="2" t="inlineStr">
        <is>
          <t>Male</t>
        </is>
      </c>
      <c r="D184" s="2" t="inlineStr">
        <is>
          <t>Legal</t>
        </is>
      </c>
      <c r="E184" s="2" t="inlineStr">
        <is>
          <t>Staff</t>
        </is>
      </c>
      <c r="F184" s="2" t="inlineStr">
        <is>
          <t>Part-Time</t>
        </is>
      </c>
      <c r="G184" s="2" t="inlineStr">
        <is>
          <t>2018-05-25</t>
        </is>
      </c>
      <c r="H184" s="2" t="n">
        <v>26</v>
      </c>
      <c r="I184" s="2" t="inlineStr">
        <is>
          <t>Bachelor</t>
        </is>
      </c>
      <c r="J184" s="2" t="inlineStr">
        <is>
          <t>Semarang</t>
        </is>
      </c>
      <c r="K184" s="3" t="n">
        <v>5030976</v>
      </c>
      <c r="L184" s="2" t="n">
        <v>3</v>
      </c>
      <c r="M184" s="2" t="n">
        <v>6</v>
      </c>
      <c r="N184" s="2" t="inlineStr">
        <is>
          <t>Active</t>
        </is>
      </c>
    </row>
    <row r="185">
      <c r="A185" s="4" t="inlineStr">
        <is>
          <t>EMP0184</t>
        </is>
      </c>
      <c r="B185" s="4" t="inlineStr">
        <is>
          <t>Dewi Kusuma</t>
        </is>
      </c>
      <c r="C185" s="4" t="inlineStr">
        <is>
          <t>Female</t>
        </is>
      </c>
      <c r="D185" s="4" t="inlineStr">
        <is>
          <t>R&amp;D</t>
        </is>
      </c>
      <c r="E185" s="4" t="inlineStr">
        <is>
          <t>Manager</t>
        </is>
      </c>
      <c r="F185" s="4" t="inlineStr">
        <is>
          <t>Contract</t>
        </is>
      </c>
      <c r="G185" s="4" t="inlineStr">
        <is>
          <t>2020-10-13</t>
        </is>
      </c>
      <c r="H185" s="4" t="n">
        <v>47</v>
      </c>
      <c r="I185" s="4" t="inlineStr">
        <is>
          <t>Bachelor</t>
        </is>
      </c>
      <c r="J185" s="4" t="inlineStr">
        <is>
          <t>Bandung</t>
        </is>
      </c>
      <c r="K185" s="5" t="n">
        <v>17783932</v>
      </c>
      <c r="L185" s="4" t="n">
        <v>3.6</v>
      </c>
      <c r="M185" s="4" t="n">
        <v>4</v>
      </c>
      <c r="N185" s="4" t="inlineStr">
        <is>
          <t>Active</t>
        </is>
      </c>
    </row>
    <row r="186">
      <c r="A186" s="2" t="inlineStr">
        <is>
          <t>EMP0185</t>
        </is>
      </c>
      <c r="B186" s="2" t="inlineStr">
        <is>
          <t>Dina Wijaya</t>
        </is>
      </c>
      <c r="C186" s="2" t="inlineStr">
        <is>
          <t>Female</t>
        </is>
      </c>
      <c r="D186" s="2" t="inlineStr">
        <is>
          <t>HR</t>
        </is>
      </c>
      <c r="E186" s="2" t="inlineStr">
        <is>
          <t>Senior</t>
        </is>
      </c>
      <c r="F186" s="2" t="inlineStr">
        <is>
          <t>Full-Time</t>
        </is>
      </c>
      <c r="G186" s="2" t="inlineStr">
        <is>
          <t>2019-02-06</t>
        </is>
      </c>
      <c r="H186" s="2" t="n">
        <v>45</v>
      </c>
      <c r="I186" s="2" t="inlineStr">
        <is>
          <t>Master</t>
        </is>
      </c>
      <c r="J186" s="2" t="inlineStr">
        <is>
          <t>Bali</t>
        </is>
      </c>
      <c r="K186" s="3" t="n">
        <v>8974042</v>
      </c>
      <c r="L186" s="2" t="n">
        <v>4</v>
      </c>
      <c r="M186" s="2" t="n">
        <v>5</v>
      </c>
      <c r="N186" s="2" t="inlineStr">
        <is>
          <t>Active</t>
        </is>
      </c>
    </row>
    <row r="187">
      <c r="A187" s="4" t="inlineStr">
        <is>
          <t>EMP0186</t>
        </is>
      </c>
      <c r="B187" s="4" t="inlineStr">
        <is>
          <t>Rina Susanto</t>
        </is>
      </c>
      <c r="C187" s="4" t="inlineStr">
        <is>
          <t>Female</t>
        </is>
      </c>
      <c r="D187" s="4" t="inlineStr">
        <is>
          <t>HR</t>
        </is>
      </c>
      <c r="E187" s="4" t="inlineStr">
        <is>
          <t>Manager</t>
        </is>
      </c>
      <c r="F187" s="4" t="inlineStr">
        <is>
          <t>Full-Time</t>
        </is>
      </c>
      <c r="G187" s="4" t="inlineStr">
        <is>
          <t>2019-03-06</t>
        </is>
      </c>
      <c r="H187" s="4" t="n">
        <v>42</v>
      </c>
      <c r="I187" s="4" t="inlineStr">
        <is>
          <t>Master</t>
        </is>
      </c>
      <c r="J187" s="4" t="inlineStr">
        <is>
          <t>Bali</t>
        </is>
      </c>
      <c r="K187" s="5" t="n">
        <v>16441250</v>
      </c>
      <c r="L187" s="4" t="n">
        <v>3.4</v>
      </c>
      <c r="M187" s="4" t="n">
        <v>5</v>
      </c>
      <c r="N187" s="4" t="inlineStr">
        <is>
          <t>Active</t>
        </is>
      </c>
    </row>
    <row r="188">
      <c r="A188" s="2" t="inlineStr">
        <is>
          <t>EMP0187</t>
        </is>
      </c>
      <c r="B188" s="2" t="inlineStr">
        <is>
          <t>Fajar Hidayat</t>
        </is>
      </c>
      <c r="C188" s="2" t="inlineStr">
        <is>
          <t>Male</t>
        </is>
      </c>
      <c r="D188" s="2" t="inlineStr">
        <is>
          <t>R&amp;D</t>
        </is>
      </c>
      <c r="E188" s="2" t="inlineStr">
        <is>
          <t>Supervisor</t>
        </is>
      </c>
      <c r="F188" s="2" t="inlineStr">
        <is>
          <t>Full-Time</t>
        </is>
      </c>
      <c r="G188" s="2" t="inlineStr">
        <is>
          <t>2021-12-27</t>
        </is>
      </c>
      <c r="H188" s="2" t="n">
        <v>50</v>
      </c>
      <c r="I188" s="2" t="inlineStr">
        <is>
          <t>Bachelor</t>
        </is>
      </c>
      <c r="J188" s="2" t="inlineStr">
        <is>
          <t>Jakarta</t>
        </is>
      </c>
      <c r="K188" s="3" t="n">
        <v>12496193</v>
      </c>
      <c r="L188" s="2" t="n">
        <v>4.5</v>
      </c>
      <c r="M188" s="2" t="n">
        <v>3</v>
      </c>
      <c r="N188" s="2" t="inlineStr">
        <is>
          <t>Active</t>
        </is>
      </c>
    </row>
    <row r="189">
      <c r="A189" s="4" t="inlineStr">
        <is>
          <t>EMP0188</t>
        </is>
      </c>
      <c r="B189" s="4" t="inlineStr">
        <is>
          <t>Dimas Utama</t>
        </is>
      </c>
      <c r="C189" s="4" t="inlineStr">
        <is>
          <t>Male</t>
        </is>
      </c>
      <c r="D189" s="4" t="inlineStr">
        <is>
          <t>IT</t>
        </is>
      </c>
      <c r="E189" s="4" t="inlineStr">
        <is>
          <t>Junior</t>
        </is>
      </c>
      <c r="F189" s="4" t="inlineStr">
        <is>
          <t>Part-Time</t>
        </is>
      </c>
      <c r="G189" s="4" t="inlineStr">
        <is>
          <t>2022-09-17</t>
        </is>
      </c>
      <c r="H189" s="4" t="n">
        <v>29</v>
      </c>
      <c r="I189" s="4" t="inlineStr">
        <is>
          <t>Bachelor</t>
        </is>
      </c>
      <c r="J189" s="4" t="inlineStr">
        <is>
          <t>Bandung</t>
        </is>
      </c>
      <c r="K189" s="5" t="n">
        <v>6562669</v>
      </c>
      <c r="L189" s="4" t="n">
        <v>4.6</v>
      </c>
      <c r="M189" s="4" t="n">
        <v>2</v>
      </c>
      <c r="N189" s="4" t="inlineStr">
        <is>
          <t>Active</t>
        </is>
      </c>
    </row>
    <row r="190">
      <c r="A190" s="2" t="inlineStr">
        <is>
          <t>EMP0189</t>
        </is>
      </c>
      <c r="B190" s="2" t="inlineStr">
        <is>
          <t>Arif Utama</t>
        </is>
      </c>
      <c r="C190" s="2" t="inlineStr">
        <is>
          <t>Male</t>
        </is>
      </c>
      <c r="D190" s="2" t="inlineStr">
        <is>
          <t>Legal</t>
        </is>
      </c>
      <c r="E190" s="2" t="inlineStr">
        <is>
          <t>Staff</t>
        </is>
      </c>
      <c r="F190" s="2" t="inlineStr">
        <is>
          <t>Part-Time</t>
        </is>
      </c>
      <c r="G190" s="2" t="inlineStr">
        <is>
          <t>2018-05-28</t>
        </is>
      </c>
      <c r="H190" s="2" t="n">
        <v>24</v>
      </c>
      <c r="I190" s="2" t="inlineStr">
        <is>
          <t>Bachelor</t>
        </is>
      </c>
      <c r="J190" s="2" t="inlineStr">
        <is>
          <t>Bandung</t>
        </is>
      </c>
      <c r="K190" s="3" t="n">
        <v>5019974</v>
      </c>
      <c r="L190" s="2" t="n">
        <v>2.7</v>
      </c>
      <c r="M190" s="2" t="n">
        <v>6</v>
      </c>
      <c r="N190" s="2" t="inlineStr">
        <is>
          <t>Active</t>
        </is>
      </c>
    </row>
    <row r="191">
      <c r="A191" s="4" t="inlineStr">
        <is>
          <t>EMP0190</t>
        </is>
      </c>
      <c r="B191" s="4" t="inlineStr">
        <is>
          <t>Fajar Utama</t>
        </is>
      </c>
      <c r="C191" s="4" t="inlineStr">
        <is>
          <t>Male</t>
        </is>
      </c>
      <c r="D191" s="4" t="inlineStr">
        <is>
          <t>Sales</t>
        </is>
      </c>
      <c r="E191" s="4" t="inlineStr">
        <is>
          <t>Director</t>
        </is>
      </c>
      <c r="F191" s="4" t="inlineStr">
        <is>
          <t>Full-Time</t>
        </is>
      </c>
      <c r="G191" s="4" t="inlineStr">
        <is>
          <t>2021-03-20</t>
        </is>
      </c>
      <c r="H191" s="4" t="n">
        <v>30</v>
      </c>
      <c r="I191" s="4" t="inlineStr">
        <is>
          <t>Master</t>
        </is>
      </c>
      <c r="J191" s="4" t="inlineStr">
        <is>
          <t>Semarang</t>
        </is>
      </c>
      <c r="K191" s="5" t="n">
        <v>26648599</v>
      </c>
      <c r="L191" s="4" t="n">
        <v>2.6</v>
      </c>
      <c r="M191" s="4" t="n">
        <v>3</v>
      </c>
      <c r="N191" s="4" t="inlineStr">
        <is>
          <t>Active</t>
        </is>
      </c>
    </row>
    <row r="192">
      <c r="A192" s="2" t="inlineStr">
        <is>
          <t>EMP0191</t>
        </is>
      </c>
      <c r="B192" s="2" t="inlineStr">
        <is>
          <t>Dina Pratama</t>
        </is>
      </c>
      <c r="C192" s="2" t="inlineStr">
        <is>
          <t>Female</t>
        </is>
      </c>
      <c r="D192" s="2" t="inlineStr">
        <is>
          <t>Sales</t>
        </is>
      </c>
      <c r="E192" s="2" t="inlineStr">
        <is>
          <t>Director</t>
        </is>
      </c>
      <c r="F192" s="2" t="inlineStr">
        <is>
          <t>Full-Time</t>
        </is>
      </c>
      <c r="G192" s="2" t="inlineStr">
        <is>
          <t>2019-09-22</t>
        </is>
      </c>
      <c r="H192" s="2" t="n">
        <v>28</v>
      </c>
      <c r="I192" s="2" t="inlineStr">
        <is>
          <t>Diploma</t>
        </is>
      </c>
      <c r="J192" s="2" t="inlineStr">
        <is>
          <t>Semarang</t>
        </is>
      </c>
      <c r="K192" s="3" t="n">
        <v>30699837</v>
      </c>
      <c r="L192" s="2" t="n">
        <v>4.8</v>
      </c>
      <c r="M192" s="2" t="n">
        <v>5</v>
      </c>
      <c r="N192" s="2" t="inlineStr">
        <is>
          <t>Inactive</t>
        </is>
      </c>
    </row>
    <row r="193">
      <c r="A193" s="4" t="inlineStr">
        <is>
          <t>EMP0192</t>
        </is>
      </c>
      <c r="B193" s="4" t="inlineStr">
        <is>
          <t>Rizki Utama</t>
        </is>
      </c>
      <c r="C193" s="4" t="inlineStr">
        <is>
          <t>Male</t>
        </is>
      </c>
      <c r="D193" s="4" t="inlineStr">
        <is>
          <t>HR</t>
        </is>
      </c>
      <c r="E193" s="4" t="inlineStr">
        <is>
          <t>Director</t>
        </is>
      </c>
      <c r="F193" s="4" t="inlineStr">
        <is>
          <t>Full-Time</t>
        </is>
      </c>
      <c r="G193" s="4" t="inlineStr">
        <is>
          <t>2018-11-13</t>
        </is>
      </c>
      <c r="H193" s="4" t="n">
        <v>53</v>
      </c>
      <c r="I193" s="4" t="inlineStr">
        <is>
          <t>Diploma</t>
        </is>
      </c>
      <c r="J193" s="4" t="inlineStr">
        <is>
          <t>Makassar</t>
        </is>
      </c>
      <c r="K193" s="5" t="n">
        <v>27081020</v>
      </c>
      <c r="L193" s="4" t="n">
        <v>3.5</v>
      </c>
      <c r="M193" s="4" t="n">
        <v>6</v>
      </c>
      <c r="N193" s="4" t="inlineStr">
        <is>
          <t>Active</t>
        </is>
      </c>
    </row>
    <row r="194">
      <c r="A194" s="2" t="inlineStr">
        <is>
          <t>EMP0193</t>
        </is>
      </c>
      <c r="B194" s="2" t="inlineStr">
        <is>
          <t>Wahyu Kusuma</t>
        </is>
      </c>
      <c r="C194" s="2" t="inlineStr">
        <is>
          <t>Male</t>
        </is>
      </c>
      <c r="D194" s="2" t="inlineStr">
        <is>
          <t>Sales</t>
        </is>
      </c>
      <c r="E194" s="2" t="inlineStr">
        <is>
          <t>Supervisor</t>
        </is>
      </c>
      <c r="F194" s="2" t="inlineStr">
        <is>
          <t>Contract</t>
        </is>
      </c>
      <c r="G194" s="2" t="inlineStr">
        <is>
          <t>2020-10-01</t>
        </is>
      </c>
      <c r="H194" s="2" t="n">
        <v>27</v>
      </c>
      <c r="I194" s="2" t="inlineStr">
        <is>
          <t>Master</t>
        </is>
      </c>
      <c r="J194" s="2" t="inlineStr">
        <is>
          <t>Medan</t>
        </is>
      </c>
      <c r="K194" s="3" t="n">
        <v>12704521</v>
      </c>
      <c r="L194" s="2" t="n">
        <v>4.2</v>
      </c>
      <c r="M194" s="2" t="n">
        <v>4</v>
      </c>
      <c r="N194" s="2" t="inlineStr">
        <is>
          <t>Active</t>
        </is>
      </c>
    </row>
    <row r="195">
      <c r="A195" s="4" t="inlineStr">
        <is>
          <t>EMP0194</t>
        </is>
      </c>
      <c r="B195" s="4" t="inlineStr">
        <is>
          <t>Lina Hidayat</t>
        </is>
      </c>
      <c r="C195" s="4" t="inlineStr">
        <is>
          <t>Female</t>
        </is>
      </c>
      <c r="D195" s="4" t="inlineStr">
        <is>
          <t>Marketing</t>
        </is>
      </c>
      <c r="E195" s="4" t="inlineStr">
        <is>
          <t>Supervisor</t>
        </is>
      </c>
      <c r="F195" s="4" t="inlineStr">
        <is>
          <t>Full-Time</t>
        </is>
      </c>
      <c r="G195" s="4" t="inlineStr">
        <is>
          <t>2019-06-18</t>
        </is>
      </c>
      <c r="H195" s="4" t="n">
        <v>58</v>
      </c>
      <c r="I195" s="4" t="inlineStr">
        <is>
          <t>Diploma</t>
        </is>
      </c>
      <c r="J195" s="4" t="inlineStr">
        <is>
          <t>Semarang</t>
        </is>
      </c>
      <c r="K195" s="5" t="n">
        <v>12256013</v>
      </c>
      <c r="L195" s="4" t="n">
        <v>3.4</v>
      </c>
      <c r="M195" s="4" t="n">
        <v>5</v>
      </c>
      <c r="N195" s="4" t="inlineStr">
        <is>
          <t>Active</t>
        </is>
      </c>
    </row>
    <row r="196">
      <c r="A196" s="2" t="inlineStr">
        <is>
          <t>EMP0195</t>
        </is>
      </c>
      <c r="B196" s="2" t="inlineStr">
        <is>
          <t>Budi Wijaya</t>
        </is>
      </c>
      <c r="C196" s="2" t="inlineStr">
        <is>
          <t>Male</t>
        </is>
      </c>
      <c r="D196" s="2" t="inlineStr">
        <is>
          <t>R&amp;D</t>
        </is>
      </c>
      <c r="E196" s="2" t="inlineStr">
        <is>
          <t>Staff</t>
        </is>
      </c>
      <c r="F196" s="2" t="inlineStr">
        <is>
          <t>Full-Time</t>
        </is>
      </c>
      <c r="G196" s="2" t="inlineStr">
        <is>
          <t>2017-08-15</t>
        </is>
      </c>
      <c r="H196" s="2" t="n">
        <v>22</v>
      </c>
      <c r="I196" s="2" t="inlineStr">
        <is>
          <t>PhD</t>
        </is>
      </c>
      <c r="J196" s="2" t="inlineStr">
        <is>
          <t>Medan</t>
        </is>
      </c>
      <c r="K196" s="3" t="n">
        <v>4277607</v>
      </c>
      <c r="L196" s="2" t="n">
        <v>4.2</v>
      </c>
      <c r="M196" s="2" t="n">
        <v>7</v>
      </c>
      <c r="N196" s="2" t="inlineStr">
        <is>
          <t>Active</t>
        </is>
      </c>
    </row>
    <row r="197">
      <c r="A197" s="4" t="inlineStr">
        <is>
          <t>EMP0196</t>
        </is>
      </c>
      <c r="B197" s="4" t="inlineStr">
        <is>
          <t>Rina Kusuma</t>
        </is>
      </c>
      <c r="C197" s="4" t="inlineStr">
        <is>
          <t>Female</t>
        </is>
      </c>
      <c r="D197" s="4" t="inlineStr">
        <is>
          <t>Finance</t>
        </is>
      </c>
      <c r="E197" s="4" t="inlineStr">
        <is>
          <t>Director</t>
        </is>
      </c>
      <c r="F197" s="4" t="inlineStr">
        <is>
          <t>Full-Time</t>
        </is>
      </c>
      <c r="G197" s="4" t="inlineStr">
        <is>
          <t>2016-06-22</t>
        </is>
      </c>
      <c r="H197" s="4" t="n">
        <v>32</v>
      </c>
      <c r="I197" s="4" t="inlineStr">
        <is>
          <t>Diploma</t>
        </is>
      </c>
      <c r="J197" s="4" t="inlineStr">
        <is>
          <t>Makassar</t>
        </is>
      </c>
      <c r="K197" s="5" t="n">
        <v>27338564</v>
      </c>
      <c r="L197" s="4" t="n">
        <v>4.2</v>
      </c>
      <c r="M197" s="4" t="n">
        <v>8</v>
      </c>
      <c r="N197" s="4" t="inlineStr">
        <is>
          <t>Active</t>
        </is>
      </c>
    </row>
    <row r="198">
      <c r="A198" s="2" t="inlineStr">
        <is>
          <t>EMP0197</t>
        </is>
      </c>
      <c r="B198" s="2" t="inlineStr">
        <is>
          <t>Andi Santoso</t>
        </is>
      </c>
      <c r="C198" s="2" t="inlineStr">
        <is>
          <t>Male</t>
        </is>
      </c>
      <c r="D198" s="2" t="inlineStr">
        <is>
          <t>Marketing</t>
        </is>
      </c>
      <c r="E198" s="2" t="inlineStr">
        <is>
          <t>Supervisor</t>
        </is>
      </c>
      <c r="F198" s="2" t="inlineStr">
        <is>
          <t>Full-Time</t>
        </is>
      </c>
      <c r="G198" s="2" t="inlineStr">
        <is>
          <t>2018-09-22</t>
        </is>
      </c>
      <c r="H198" s="2" t="n">
        <v>50</v>
      </c>
      <c r="I198" s="2" t="inlineStr">
        <is>
          <t>High School</t>
        </is>
      </c>
      <c r="J198" s="2" t="inlineStr">
        <is>
          <t>Makassar</t>
        </is>
      </c>
      <c r="K198" s="3" t="n">
        <v>11830722</v>
      </c>
      <c r="L198" s="2" t="n">
        <v>2.8</v>
      </c>
      <c r="M198" s="2" t="n">
        <v>6</v>
      </c>
      <c r="N198" s="2" t="inlineStr">
        <is>
          <t>Active</t>
        </is>
      </c>
    </row>
    <row r="199">
      <c r="A199" s="4" t="inlineStr">
        <is>
          <t>EMP0198</t>
        </is>
      </c>
      <c r="B199" s="4" t="inlineStr">
        <is>
          <t>Arif Wijaya</t>
        </is>
      </c>
      <c r="C199" s="4" t="inlineStr">
        <is>
          <t>Male</t>
        </is>
      </c>
      <c r="D199" s="4" t="inlineStr">
        <is>
          <t>Marketing</t>
        </is>
      </c>
      <c r="E199" s="4" t="inlineStr">
        <is>
          <t>Supervisor</t>
        </is>
      </c>
      <c r="F199" s="4" t="inlineStr">
        <is>
          <t>Full-Time</t>
        </is>
      </c>
      <c r="G199" s="4" t="inlineStr">
        <is>
          <t>2016-02-11</t>
        </is>
      </c>
      <c r="H199" s="4" t="n">
        <v>45</v>
      </c>
      <c r="I199" s="4" t="inlineStr">
        <is>
          <t>Master</t>
        </is>
      </c>
      <c r="J199" s="4" t="inlineStr">
        <is>
          <t>Surabaya</t>
        </is>
      </c>
      <c r="K199" s="5" t="n">
        <v>11948163</v>
      </c>
      <c r="L199" s="4" t="n">
        <v>4.5</v>
      </c>
      <c r="M199" s="4" t="n">
        <v>8</v>
      </c>
      <c r="N199" s="4" t="inlineStr">
        <is>
          <t>Active</t>
        </is>
      </c>
    </row>
    <row r="200">
      <c r="A200" s="2" t="inlineStr">
        <is>
          <t>EMP0199</t>
        </is>
      </c>
      <c r="B200" s="2" t="inlineStr">
        <is>
          <t>Andi Santoso</t>
        </is>
      </c>
      <c r="C200" s="2" t="inlineStr">
        <is>
          <t>Male</t>
        </is>
      </c>
      <c r="D200" s="2" t="inlineStr">
        <is>
          <t>HR</t>
        </is>
      </c>
      <c r="E200" s="2" t="inlineStr">
        <is>
          <t>Supervisor</t>
        </is>
      </c>
      <c r="F200" s="2" t="inlineStr">
        <is>
          <t>Full-Time</t>
        </is>
      </c>
      <c r="G200" s="2" t="inlineStr">
        <is>
          <t>2018-11-24</t>
        </is>
      </c>
      <c r="H200" s="2" t="n">
        <v>31</v>
      </c>
      <c r="I200" s="2" t="inlineStr">
        <is>
          <t>PhD</t>
        </is>
      </c>
      <c r="J200" s="2" t="inlineStr">
        <is>
          <t>Bali</t>
        </is>
      </c>
      <c r="K200" s="3" t="n">
        <v>12859698</v>
      </c>
      <c r="L200" s="2" t="n">
        <v>4.6</v>
      </c>
      <c r="M200" s="2" t="n">
        <v>6</v>
      </c>
      <c r="N200" s="2" t="inlineStr">
        <is>
          <t>Active</t>
        </is>
      </c>
    </row>
    <row r="201">
      <c r="A201" s="4" t="inlineStr">
        <is>
          <t>EMP0200</t>
        </is>
      </c>
      <c r="B201" s="4" t="inlineStr">
        <is>
          <t>Rizki Wijaya</t>
        </is>
      </c>
      <c r="C201" s="4" t="inlineStr">
        <is>
          <t>Male</t>
        </is>
      </c>
      <c r="D201" s="4" t="inlineStr">
        <is>
          <t>Legal</t>
        </is>
      </c>
      <c r="E201" s="4" t="inlineStr">
        <is>
          <t>Senior</t>
        </is>
      </c>
      <c r="F201" s="4" t="inlineStr">
        <is>
          <t>Contract</t>
        </is>
      </c>
      <c r="G201" s="4" t="inlineStr">
        <is>
          <t>2020-03-08</t>
        </is>
      </c>
      <c r="H201" s="4" t="n">
        <v>39</v>
      </c>
      <c r="I201" s="4" t="inlineStr">
        <is>
          <t>Bachelor</t>
        </is>
      </c>
      <c r="J201" s="4" t="inlineStr">
        <is>
          <t>Surabaya</t>
        </is>
      </c>
      <c r="K201" s="5" t="n">
        <v>9345142</v>
      </c>
      <c r="L201" s="4" t="n">
        <v>4</v>
      </c>
      <c r="M201" s="4" t="n">
        <v>4</v>
      </c>
      <c r="N201" s="4" t="inlineStr">
        <is>
          <t>Active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75B6"/>
    <outlinePr summaryBelow="1" summaryRight="1"/>
    <pageSetUpPr/>
  </sheetPr>
  <dimension ref="A1:N21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50" customHeight="1">
      <c r="A1" s="6" t="inlineStr">
        <is>
          <t>HUMAN CAPITAL ANALYTICS  |  WORKFORCE DASHBOARD</t>
        </is>
      </c>
    </row>
    <row r="2" ht="12" customHeight="1"/>
    <row r="3" ht="22" customHeight="1">
      <c r="A3" s="7" t="inlineStr">
        <is>
          <t>👥  TOTAL EMPLOYEES</t>
        </is>
      </c>
      <c r="C3" s="8" t="inlineStr">
        <is>
          <t>✅  ACTIVE EMPLOYEES</t>
        </is>
      </c>
      <c r="E3" s="9" t="inlineStr">
        <is>
          <t>📅  AVG AGE</t>
        </is>
      </c>
      <c r="G3" s="10" t="inlineStr">
        <is>
          <t>🏅  AVG TENURE (YRS)</t>
        </is>
      </c>
      <c r="I3" s="11" t="inlineStr">
        <is>
          <t>💰  AVG SALARY (IDR)</t>
        </is>
      </c>
      <c r="K3" s="12" t="inlineStr">
        <is>
          <t>⭐  AVG PERFORMANCE</t>
        </is>
      </c>
    </row>
    <row r="4" ht="35" customHeight="1">
      <c r="A4" s="13">
        <f>COUNTA(Employee_Data!A2:A201)</f>
        <v/>
      </c>
      <c r="C4" s="14">
        <f>COUNTIF(Employee_Data!N2:N201,"Active")</f>
        <v/>
      </c>
      <c r="E4" s="15">
        <f>ROUND(AVERAGE(Employee_Data!H2:H201),1)</f>
        <v/>
      </c>
      <c r="G4" s="16">
        <f>ROUND(AVERAGE(Employee_Data!M2:M201),1)</f>
        <v/>
      </c>
      <c r="I4" s="17">
        <f>ROUND(AVERAGE(Employee_Data!K2:K201),0)</f>
        <v/>
      </c>
      <c r="K4" s="18">
        <f>ROUND(AVERAGE(Employee_Data!L2:L201),2)</f>
        <v/>
      </c>
    </row>
    <row r="5"/>
    <row r="6"/>
    <row r="9">
      <c r="A9" s="19" t="inlineStr">
        <is>
          <t>WORKFORCE BY DEPARTMENT</t>
        </is>
      </c>
      <c r="B9" s="20" t="n"/>
      <c r="C9" s="20" t="n"/>
      <c r="D9" s="20" t="n"/>
      <c r="E9" s="20" t="n"/>
      <c r="F9" s="20" t="n"/>
      <c r="H9" s="21" t="inlineStr">
        <is>
          <t>GENDER DISTRIBUTION</t>
        </is>
      </c>
      <c r="I9" s="20" t="n"/>
      <c r="J9" s="20" t="n"/>
      <c r="K9" s="20" t="n"/>
    </row>
    <row r="10">
      <c r="A10" s="22" t="inlineStr">
        <is>
          <t>Department</t>
        </is>
      </c>
      <c r="B10" s="22" t="inlineStr">
        <is>
          <t>Total</t>
        </is>
      </c>
      <c r="C10" s="22" t="inlineStr">
        <is>
          <t>Active</t>
        </is>
      </c>
      <c r="D10" s="22" t="inlineStr">
        <is>
          <t>% Active</t>
        </is>
      </c>
      <c r="E10" s="22" t="inlineStr">
        <is>
          <t>Avg Salary</t>
        </is>
      </c>
      <c r="F10" s="22" t="inlineStr">
        <is>
          <t>Avg Performance</t>
        </is>
      </c>
      <c r="H10" s="22" t="inlineStr">
        <is>
          <t>Gender</t>
        </is>
      </c>
      <c r="I10" s="22" t="inlineStr">
        <is>
          <t>Count</t>
        </is>
      </c>
      <c r="J10" s="22" t="inlineStr">
        <is>
          <t>% Share</t>
        </is>
      </c>
      <c r="K10" s="22" t="inlineStr">
        <is>
          <t>Trend</t>
        </is>
      </c>
    </row>
    <row r="11">
      <c r="A11" s="23" t="inlineStr">
        <is>
          <t>Operations</t>
        </is>
      </c>
      <c r="B11" s="24">
        <f>COUNTIF(Employee_Data!D:D,A11)</f>
        <v/>
      </c>
      <c r="C11" s="24">
        <f>COUNTIFS(Employee_Data!D:D,A11,Employee_Data!N:N,"Active")</f>
        <v/>
      </c>
      <c r="D11" s="25">
        <f>IF(B11=0,0,C11/B11)</f>
        <v/>
      </c>
      <c r="E11" s="26">
        <f>AVERAGEIF(Employee_Data!D:D,A11,Employee_Data!K:K)</f>
        <v/>
      </c>
      <c r="F11" s="27">
        <f>AVERAGEIF(Employee_Data!D:D,A11,Employee_Data!L:L)</f>
        <v/>
      </c>
      <c r="H11" s="28" t="inlineStr">
        <is>
          <t>Male</t>
        </is>
      </c>
      <c r="I11" s="24">
        <f>COUNTIF(Employee_Data!C:C,H11)</f>
        <v/>
      </c>
      <c r="J11" s="25">
        <f>IF(COUNTA(Employee_Data!C2:C201)=0,0,I11/COUNTA(Employee_Data!C2:C201))</f>
        <v/>
      </c>
      <c r="K11" s="29" t="inlineStr">
        <is>
          <t>▬▬▬▬▬</t>
        </is>
      </c>
    </row>
    <row r="12">
      <c r="A12" s="30" t="inlineStr">
        <is>
          <t>Finance</t>
        </is>
      </c>
      <c r="B12" s="31">
        <f>COUNTIF(Employee_Data!D:D,A12)</f>
        <v/>
      </c>
      <c r="C12" s="31">
        <f>COUNTIFS(Employee_Data!D:D,A12,Employee_Data!N:N,"Active")</f>
        <v/>
      </c>
      <c r="D12" s="32">
        <f>IF(B12=0,0,C12/B12)</f>
        <v/>
      </c>
      <c r="E12" s="33">
        <f>AVERAGEIF(Employee_Data!D:D,A12,Employee_Data!K:K)</f>
        <v/>
      </c>
      <c r="F12" s="34">
        <f>AVERAGEIF(Employee_Data!D:D,A12,Employee_Data!L:L)</f>
        <v/>
      </c>
      <c r="H12" s="35" t="inlineStr">
        <is>
          <t>Female</t>
        </is>
      </c>
      <c r="I12" s="31">
        <f>COUNTIF(Employee_Data!C:C,H12)</f>
        <v/>
      </c>
      <c r="J12" s="32">
        <f>IF(COUNTA(Employee_Data!C2:C201)=0,0,I12/COUNTA(Employee_Data!C2:C201))</f>
        <v/>
      </c>
      <c r="K12" s="36" t="inlineStr">
        <is>
          <t>▬▬▬</t>
        </is>
      </c>
    </row>
    <row r="13">
      <c r="A13" s="23" t="inlineStr">
        <is>
          <t>HR</t>
        </is>
      </c>
      <c r="B13" s="24">
        <f>COUNTIF(Employee_Data!D:D,A13)</f>
        <v/>
      </c>
      <c r="C13" s="24">
        <f>COUNTIFS(Employee_Data!D:D,A13,Employee_Data!N:N,"Active")</f>
        <v/>
      </c>
      <c r="D13" s="25">
        <f>IF(B13=0,0,C13/B13)</f>
        <v/>
      </c>
      <c r="E13" s="26">
        <f>AVERAGEIF(Employee_Data!D:D,A13,Employee_Data!K:K)</f>
        <v/>
      </c>
      <c r="F13" s="27">
        <f>AVERAGEIF(Employee_Data!D:D,A13,Employee_Data!L:L)</f>
        <v/>
      </c>
    </row>
    <row r="14">
      <c r="A14" s="30" t="inlineStr">
        <is>
          <t>Marketing</t>
        </is>
      </c>
      <c r="B14" s="31">
        <f>COUNTIF(Employee_Data!D:D,A14)</f>
        <v/>
      </c>
      <c r="C14" s="31">
        <f>COUNTIFS(Employee_Data!D:D,A14,Employee_Data!N:N,"Active")</f>
        <v/>
      </c>
      <c r="D14" s="32">
        <f>IF(B14=0,0,C14/B14)</f>
        <v/>
      </c>
      <c r="E14" s="33">
        <f>AVERAGEIF(Employee_Data!D:D,A14,Employee_Data!K:K)</f>
        <v/>
      </c>
      <c r="F14" s="34">
        <f>AVERAGEIF(Employee_Data!D:D,A14,Employee_Data!L:L)</f>
        <v/>
      </c>
    </row>
    <row r="15">
      <c r="A15" s="23" t="inlineStr">
        <is>
          <t>IT</t>
        </is>
      </c>
      <c r="B15" s="24">
        <f>COUNTIF(Employee_Data!D:D,A15)</f>
        <v/>
      </c>
      <c r="C15" s="24">
        <f>COUNTIFS(Employee_Data!D:D,A15,Employee_Data!N:N,"Active")</f>
        <v/>
      </c>
      <c r="D15" s="25">
        <f>IF(B15=0,0,C15/B15)</f>
        <v/>
      </c>
      <c r="E15" s="26">
        <f>AVERAGEIF(Employee_Data!D:D,A15,Employee_Data!K:K)</f>
        <v/>
      </c>
      <c r="F15" s="27">
        <f>AVERAGEIF(Employee_Data!D:D,A15,Employee_Data!L:L)</f>
        <v/>
      </c>
      <c r="H15" s="21" t="inlineStr">
        <is>
          <t>EDUCATION DISTRIBUTION</t>
        </is>
      </c>
      <c r="I15" s="20" t="n"/>
      <c r="J15" s="20" t="n"/>
    </row>
    <row r="16">
      <c r="A16" s="30" t="inlineStr">
        <is>
          <t>Sales</t>
        </is>
      </c>
      <c r="B16" s="31">
        <f>COUNTIF(Employee_Data!D:D,A16)</f>
        <v/>
      </c>
      <c r="C16" s="31">
        <f>COUNTIFS(Employee_Data!D:D,A16,Employee_Data!N:N,"Active")</f>
        <v/>
      </c>
      <c r="D16" s="32">
        <f>IF(B16=0,0,C16/B16)</f>
        <v/>
      </c>
      <c r="E16" s="33">
        <f>AVERAGEIF(Employee_Data!D:D,A16,Employee_Data!K:K)</f>
        <v/>
      </c>
      <c r="F16" s="34">
        <f>AVERAGEIF(Employee_Data!D:D,A16,Employee_Data!L:L)</f>
        <v/>
      </c>
      <c r="H16" s="22" t="inlineStr">
        <is>
          <t>Education</t>
        </is>
      </c>
      <c r="I16" s="22" t="inlineStr">
        <is>
          <t>Count</t>
        </is>
      </c>
      <c r="J16" s="22" t="inlineStr">
        <is>
          <t>% Share</t>
        </is>
      </c>
    </row>
    <row r="17">
      <c r="A17" s="23" t="inlineStr">
        <is>
          <t>Legal</t>
        </is>
      </c>
      <c r="B17" s="24">
        <f>COUNTIF(Employee_Data!D:D,A17)</f>
        <v/>
      </c>
      <c r="C17" s="24">
        <f>COUNTIFS(Employee_Data!D:D,A17,Employee_Data!N:N,"Active")</f>
        <v/>
      </c>
      <c r="D17" s="25">
        <f>IF(B17=0,0,C17/B17)</f>
        <v/>
      </c>
      <c r="E17" s="26">
        <f>AVERAGEIF(Employee_Data!D:D,A17,Employee_Data!K:K)</f>
        <v/>
      </c>
      <c r="F17" s="27">
        <f>AVERAGEIF(Employee_Data!D:D,A17,Employee_Data!L:L)</f>
        <v/>
      </c>
      <c r="H17" s="28" t="inlineStr">
        <is>
          <t>High School</t>
        </is>
      </c>
      <c r="I17" s="24">
        <f>COUNTIF(Employee_Data!I:I,H17)</f>
        <v/>
      </c>
      <c r="J17" s="25">
        <f>IF(COUNTA(Employee_Data!I2:I201)=0,0,I17/COUNTA(Employee_Data!I2:I201))</f>
        <v/>
      </c>
    </row>
    <row r="18">
      <c r="A18" s="30" t="inlineStr">
        <is>
          <t>R&amp;D</t>
        </is>
      </c>
      <c r="B18" s="31">
        <f>COUNTIF(Employee_Data!D:D,A18)</f>
        <v/>
      </c>
      <c r="C18" s="31">
        <f>COUNTIFS(Employee_Data!D:D,A18,Employee_Data!N:N,"Active")</f>
        <v/>
      </c>
      <c r="D18" s="32">
        <f>IF(B18=0,0,C18/B18)</f>
        <v/>
      </c>
      <c r="E18" s="33">
        <f>AVERAGEIF(Employee_Data!D:D,A18,Employee_Data!K:K)</f>
        <v/>
      </c>
      <c r="F18" s="34">
        <f>AVERAGEIF(Employee_Data!D:D,A18,Employee_Data!L:L)</f>
        <v/>
      </c>
      <c r="H18" s="35" t="inlineStr">
        <is>
          <t>Diploma</t>
        </is>
      </c>
      <c r="I18" s="31">
        <f>COUNTIF(Employee_Data!I:I,H18)</f>
        <v/>
      </c>
      <c r="J18" s="32">
        <f>IF(COUNTA(Employee_Data!I2:I201)=0,0,I18/COUNTA(Employee_Data!I2:I201))</f>
        <v/>
      </c>
    </row>
    <row r="19">
      <c r="A19" s="37" t="inlineStr">
        <is>
          <t>TOTAL / AVERAGE</t>
        </is>
      </c>
      <c r="B19" s="38">
        <f>SUM(B11:B18)</f>
        <v/>
      </c>
      <c r="C19" s="38">
        <f>SUM(C11:C18)</f>
        <v/>
      </c>
      <c r="D19" s="39">
        <f>IF(B19=0,0,C19/B19)</f>
        <v/>
      </c>
      <c r="E19" s="40">
        <f>AVERAGE(E11:E18)</f>
        <v/>
      </c>
      <c r="F19" s="41">
        <f>AVERAGE(F11:F18)</f>
        <v/>
      </c>
      <c r="H19" s="28" t="inlineStr">
        <is>
          <t>Bachelor</t>
        </is>
      </c>
      <c r="I19" s="24">
        <f>COUNTIF(Employee_Data!I:I,H19)</f>
        <v/>
      </c>
      <c r="J19" s="25">
        <f>IF(COUNTA(Employee_Data!I2:I201)=0,0,I19/COUNTA(Employee_Data!I2:I201))</f>
        <v/>
      </c>
    </row>
    <row r="20">
      <c r="H20" s="35" t="inlineStr">
        <is>
          <t>Master</t>
        </is>
      </c>
      <c r="I20" s="31">
        <f>COUNTIF(Employee_Data!I:I,H20)</f>
        <v/>
      </c>
      <c r="J20" s="32">
        <f>IF(COUNTA(Employee_Data!I2:I201)=0,0,I20/COUNTA(Employee_Data!I2:I201))</f>
        <v/>
      </c>
    </row>
    <row r="21">
      <c r="H21" s="28" t="inlineStr">
        <is>
          <t>PhD</t>
        </is>
      </c>
      <c r="I21" s="24">
        <f>COUNTIF(Employee_Data!I:I,H21)</f>
        <v/>
      </c>
      <c r="J21" s="25">
        <f>IF(COUNTA(Employee_Data!I2:I201)=0,0,I21/COUNTA(Employee_Data!I2:I201))</f>
        <v/>
      </c>
    </row>
  </sheetData>
  <mergeCells count="28">
    <mergeCell ref="C6:D6"/>
    <mergeCell ref="I6:J6"/>
    <mergeCell ref="C5:D5"/>
    <mergeCell ref="E5:F5"/>
    <mergeCell ref="K5:L5"/>
    <mergeCell ref="H15:K15"/>
    <mergeCell ref="A6:B6"/>
    <mergeCell ref="C4:D4"/>
    <mergeCell ref="A1:N1"/>
    <mergeCell ref="E4:F4"/>
    <mergeCell ref="G6:H6"/>
    <mergeCell ref="A3:B3"/>
    <mergeCell ref="G3:H3"/>
    <mergeCell ref="I3:J3"/>
    <mergeCell ref="E6:F6"/>
    <mergeCell ref="H9:K9"/>
    <mergeCell ref="A9:F9"/>
    <mergeCell ref="A5:B5"/>
    <mergeCell ref="G5:H5"/>
    <mergeCell ref="K6:L6"/>
    <mergeCell ref="I5:J5"/>
    <mergeCell ref="A4:B4"/>
    <mergeCell ref="G4:H4"/>
    <mergeCell ref="I4:J4"/>
    <mergeCell ref="K4:L4"/>
    <mergeCell ref="C3:D3"/>
    <mergeCell ref="E3:F3"/>
    <mergeCell ref="K3:L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375623"/>
    <outlinePr summaryBelow="1" summaryRight="1"/>
    <pageSetUpPr/>
  </sheetPr>
  <dimension ref="A1:H13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16" customWidth="1" min="2" max="2"/>
    <col width="12" customWidth="1" min="3" max="3"/>
    <col width="12" customWidth="1" min="4" max="4"/>
    <col width="12" customWidth="1" min="5" max="5"/>
    <col width="14" customWidth="1" min="6" max="6"/>
  </cols>
  <sheetData>
    <row r="1" ht="40" customHeight="1">
      <c r="A1" s="42" t="inlineStr">
        <is>
          <t>HEADCOUNT TREND ANALYSIS  |  2015 – 2024</t>
        </is>
      </c>
    </row>
    <row r="3">
      <c r="A3" s="22" t="inlineStr">
        <is>
          <t>Year</t>
        </is>
      </c>
      <c r="B3" s="22" t="inlineStr">
        <is>
          <t>Total Headcount</t>
        </is>
      </c>
      <c r="C3" s="43" t="inlineStr">
        <is>
          <t>New Hires</t>
        </is>
      </c>
      <c r="D3" s="44" t="inlineStr">
        <is>
          <t>Attrition</t>
        </is>
      </c>
      <c r="E3" s="45" t="inlineStr">
        <is>
          <t>Net Growth</t>
        </is>
      </c>
      <c r="F3" s="46" t="inlineStr">
        <is>
          <t>Growth Rate %</t>
        </is>
      </c>
    </row>
    <row r="4">
      <c r="A4" s="28" t="n">
        <v>2015</v>
      </c>
      <c r="B4" s="24" t="n">
        <v>82</v>
      </c>
      <c r="C4" s="24" t="n">
        <v>18</v>
      </c>
      <c r="D4" s="24" t="n">
        <v>5</v>
      </c>
      <c r="E4" s="24">
        <f>C4-D4</f>
        <v/>
      </c>
      <c r="F4" s="47" t="inlineStr">
        <is>
          <t>—</t>
        </is>
      </c>
    </row>
    <row r="5">
      <c r="A5" s="35" t="n">
        <v>2016</v>
      </c>
      <c r="B5" s="31" t="n">
        <v>95</v>
      </c>
      <c r="C5" s="31" t="n">
        <v>22</v>
      </c>
      <c r="D5" s="31" t="n">
        <v>9</v>
      </c>
      <c r="E5" s="31">
        <f>C5-D5</f>
        <v/>
      </c>
      <c r="F5" s="32">
        <f>IF(B4=0,0,(B5-B4)/B4)</f>
        <v/>
      </c>
    </row>
    <row r="6">
      <c r="A6" s="28" t="n">
        <v>2017</v>
      </c>
      <c r="B6" s="24" t="n">
        <v>110</v>
      </c>
      <c r="C6" s="24" t="n">
        <v>26</v>
      </c>
      <c r="D6" s="24" t="n">
        <v>11</v>
      </c>
      <c r="E6" s="24">
        <f>C6-D6</f>
        <v/>
      </c>
      <c r="F6" s="25">
        <f>IF(B5=0,0,(B6-B5)/B5)</f>
        <v/>
      </c>
    </row>
    <row r="7">
      <c r="A7" s="35" t="n">
        <v>2018</v>
      </c>
      <c r="B7" s="31" t="n">
        <v>128</v>
      </c>
      <c r="C7" s="31" t="n">
        <v>28</v>
      </c>
      <c r="D7" s="31" t="n">
        <v>11</v>
      </c>
      <c r="E7" s="31">
        <f>C7-D7</f>
        <v/>
      </c>
      <c r="F7" s="32">
        <f>IF(B6=0,0,(B7-B6)/B6)</f>
        <v/>
      </c>
    </row>
    <row r="8">
      <c r="A8" s="28" t="n">
        <v>2019</v>
      </c>
      <c r="B8" s="24" t="n">
        <v>145</v>
      </c>
      <c r="C8" s="24" t="n">
        <v>25</v>
      </c>
      <c r="D8" s="24" t="n">
        <v>8</v>
      </c>
      <c r="E8" s="24">
        <f>C8-D8</f>
        <v/>
      </c>
      <c r="F8" s="25">
        <f>IF(B7=0,0,(B8-B7)/B7)</f>
        <v/>
      </c>
    </row>
    <row r="9">
      <c r="A9" s="35" t="n">
        <v>2020</v>
      </c>
      <c r="B9" s="31" t="n">
        <v>158</v>
      </c>
      <c r="C9" s="31" t="n">
        <v>20</v>
      </c>
      <c r="D9" s="31" t="n">
        <v>7</v>
      </c>
      <c r="E9" s="31">
        <f>C9-D9</f>
        <v/>
      </c>
      <c r="F9" s="32">
        <f>IF(B8=0,0,(B9-B8)/B8)</f>
        <v/>
      </c>
    </row>
    <row r="10">
      <c r="A10" s="28" t="n">
        <v>2021</v>
      </c>
      <c r="B10" s="24" t="n">
        <v>170</v>
      </c>
      <c r="C10" s="24" t="n">
        <v>18</v>
      </c>
      <c r="D10" s="24" t="n">
        <v>6</v>
      </c>
      <c r="E10" s="24">
        <f>C10-D10</f>
        <v/>
      </c>
      <c r="F10" s="25">
        <f>IF(B9=0,0,(B10-B9)/B9)</f>
        <v/>
      </c>
    </row>
    <row r="11">
      <c r="A11" s="35" t="n">
        <v>2022</v>
      </c>
      <c r="B11" s="31" t="n">
        <v>182</v>
      </c>
      <c r="C11" s="31" t="n">
        <v>20</v>
      </c>
      <c r="D11" s="31" t="n">
        <v>8</v>
      </c>
      <c r="E11" s="31">
        <f>C11-D11</f>
        <v/>
      </c>
      <c r="F11" s="32">
        <f>IF(B10=0,0,(B11-B10)/B10)</f>
        <v/>
      </c>
    </row>
    <row r="12">
      <c r="A12" s="28" t="n">
        <v>2023</v>
      </c>
      <c r="B12" s="24" t="n">
        <v>193</v>
      </c>
      <c r="C12" s="24" t="n">
        <v>17</v>
      </c>
      <c r="D12" s="24" t="n">
        <v>6</v>
      </c>
      <c r="E12" s="24">
        <f>C12-D12</f>
        <v/>
      </c>
      <c r="F12" s="25">
        <f>IF(B11=0,0,(B12-B11)/B11)</f>
        <v/>
      </c>
    </row>
    <row r="13">
      <c r="A13" s="35" t="n">
        <v>2024</v>
      </c>
      <c r="B13" s="31" t="n">
        <v>200</v>
      </c>
      <c r="C13" s="31" t="n">
        <v>15</v>
      </c>
      <c r="D13" s="31" t="n">
        <v>8</v>
      </c>
      <c r="E13" s="31">
        <f>C13-D13</f>
        <v/>
      </c>
      <c r="F13" s="32">
        <f>IF(B12=0,0,(B13-B12)/B12)</f>
        <v/>
      </c>
    </row>
  </sheetData>
  <mergeCells count="1">
    <mergeCell ref="A1:H1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tabColor rgb="007B2D8B"/>
    <outlinePr summaryBelow="1" summaryRight="1"/>
    <pageSetUpPr/>
  </sheetPr>
  <dimension ref="A1:I11"/>
  <sheetViews>
    <sheetView showGridLines="0" workbookViewId="0">
      <selection activeCell="A1" sqref="A1"/>
    </sheetView>
  </sheetViews>
  <sheetFormatPr baseColWidth="8" defaultRowHeight="15"/>
  <cols>
    <col width="13" customWidth="1" min="1" max="1"/>
    <col width="8" customWidth="1" min="2" max="2"/>
    <col width="8" customWidth="1" min="3" max="3"/>
    <col width="9" customWidth="1" min="4" max="4"/>
    <col width="9" customWidth="1" min="5" max="5"/>
    <col width="9" customWidth="1" min="6" max="6"/>
    <col width="11" customWidth="1" min="7" max="7"/>
    <col width="14" customWidth="1" min="8" max="8"/>
    <col width="11" customWidth="1" min="9" max="9"/>
  </cols>
  <sheetData>
    <row r="1" ht="40" customHeight="1">
      <c r="A1" s="42" t="inlineStr">
        <is>
          <t>WORKFORCE DISTRIBUTION BY REGION</t>
        </is>
      </c>
    </row>
    <row r="3">
      <c r="A3" s="22" t="inlineStr">
        <is>
          <t>Region</t>
        </is>
      </c>
      <c r="B3" s="22" t="inlineStr">
        <is>
          <t>Total</t>
        </is>
      </c>
      <c r="C3" s="22" t="inlineStr">
        <is>
          <t>Male</t>
        </is>
      </c>
      <c r="D3" s="22" t="inlineStr">
        <is>
          <t>Female</t>
        </is>
      </c>
      <c r="E3" s="22" t="inlineStr">
        <is>
          <t>F-T</t>
        </is>
      </c>
      <c r="F3" s="22" t="inlineStr">
        <is>
          <t>P-T</t>
        </is>
      </c>
      <c r="G3" s="22" t="inlineStr">
        <is>
          <t>Contract</t>
        </is>
      </c>
      <c r="H3" s="22" t="inlineStr">
        <is>
          <t>Avg Salary</t>
        </is>
      </c>
      <c r="I3" s="22" t="inlineStr">
        <is>
          <t>% of Total</t>
        </is>
      </c>
    </row>
    <row r="4">
      <c r="A4" s="48" t="inlineStr">
        <is>
          <t>Jakarta</t>
        </is>
      </c>
      <c r="B4" s="24">
        <f>COUNTIF(Employee_Data!J:J,A4)</f>
        <v/>
      </c>
      <c r="C4" s="24">
        <f>COUNTIFS(Employee_Data!J:J,A4,Employee_Data!C:C,"Male")</f>
        <v/>
      </c>
      <c r="D4" s="24">
        <f>COUNTIFS(Employee_Data!J:J,A4,Employee_Data!C:C,"Female")</f>
        <v/>
      </c>
      <c r="E4" s="24">
        <f>COUNTIFS(Employee_Data!J:J,A4,Employee_Data!F:F,"Full-Time")</f>
        <v/>
      </c>
      <c r="F4" s="24">
        <f>COUNTIFS(Employee_Data!J:J,A4,Employee_Data!F:F,"Part-Time")</f>
        <v/>
      </c>
      <c r="G4" s="24">
        <f>COUNTIFS(Employee_Data!J:J,A4,Employee_Data!F:F,"Contract")</f>
        <v/>
      </c>
      <c r="H4" s="26">
        <f>AVERAGEIF(Employee_Data!J:J,A4,Employee_Data!K:K)</f>
        <v/>
      </c>
      <c r="I4" s="25">
        <f>IF(COUNTA(Employee_Data!J2:J201)=0,0,B4/COUNTA(Employee_Data!J2:J201))</f>
        <v/>
      </c>
    </row>
    <row r="5">
      <c r="A5" s="49" t="inlineStr">
        <is>
          <t>Surabaya</t>
        </is>
      </c>
      <c r="B5" s="31">
        <f>COUNTIF(Employee_Data!J:J,A5)</f>
        <v/>
      </c>
      <c r="C5" s="31">
        <f>COUNTIFS(Employee_Data!J:J,A5,Employee_Data!C:C,"Male")</f>
        <v/>
      </c>
      <c r="D5" s="31">
        <f>COUNTIFS(Employee_Data!J:J,A5,Employee_Data!C:C,"Female")</f>
        <v/>
      </c>
      <c r="E5" s="31">
        <f>COUNTIFS(Employee_Data!J:J,A5,Employee_Data!F:F,"Full-Time")</f>
        <v/>
      </c>
      <c r="F5" s="31">
        <f>COUNTIFS(Employee_Data!J:J,A5,Employee_Data!F:F,"Part-Time")</f>
        <v/>
      </c>
      <c r="G5" s="31">
        <f>COUNTIFS(Employee_Data!J:J,A5,Employee_Data!F:F,"Contract")</f>
        <v/>
      </c>
      <c r="H5" s="33">
        <f>AVERAGEIF(Employee_Data!J:J,A5,Employee_Data!K:K)</f>
        <v/>
      </c>
      <c r="I5" s="32">
        <f>IF(COUNTA(Employee_Data!J2:J201)=0,0,B5/COUNTA(Employee_Data!J2:J201))</f>
        <v/>
      </c>
    </row>
    <row r="6">
      <c r="A6" s="48" t="inlineStr">
        <is>
          <t>Bandung</t>
        </is>
      </c>
      <c r="B6" s="24">
        <f>COUNTIF(Employee_Data!J:J,A6)</f>
        <v/>
      </c>
      <c r="C6" s="24">
        <f>COUNTIFS(Employee_Data!J:J,A6,Employee_Data!C:C,"Male")</f>
        <v/>
      </c>
      <c r="D6" s="24">
        <f>COUNTIFS(Employee_Data!J:J,A6,Employee_Data!C:C,"Female")</f>
        <v/>
      </c>
      <c r="E6" s="24">
        <f>COUNTIFS(Employee_Data!J:J,A6,Employee_Data!F:F,"Full-Time")</f>
        <v/>
      </c>
      <c r="F6" s="24">
        <f>COUNTIFS(Employee_Data!J:J,A6,Employee_Data!F:F,"Part-Time")</f>
        <v/>
      </c>
      <c r="G6" s="24">
        <f>COUNTIFS(Employee_Data!J:J,A6,Employee_Data!F:F,"Contract")</f>
        <v/>
      </c>
      <c r="H6" s="26">
        <f>AVERAGEIF(Employee_Data!J:J,A6,Employee_Data!K:K)</f>
        <v/>
      </c>
      <c r="I6" s="25">
        <f>IF(COUNTA(Employee_Data!J2:J201)=0,0,B6/COUNTA(Employee_Data!J2:J201))</f>
        <v/>
      </c>
    </row>
    <row r="7">
      <c r="A7" s="49" t="inlineStr">
        <is>
          <t>Medan</t>
        </is>
      </c>
      <c r="B7" s="31">
        <f>COUNTIF(Employee_Data!J:J,A7)</f>
        <v/>
      </c>
      <c r="C7" s="31">
        <f>COUNTIFS(Employee_Data!J:J,A7,Employee_Data!C:C,"Male")</f>
        <v/>
      </c>
      <c r="D7" s="31">
        <f>COUNTIFS(Employee_Data!J:J,A7,Employee_Data!C:C,"Female")</f>
        <v/>
      </c>
      <c r="E7" s="31">
        <f>COUNTIFS(Employee_Data!J:J,A7,Employee_Data!F:F,"Full-Time")</f>
        <v/>
      </c>
      <c r="F7" s="31">
        <f>COUNTIFS(Employee_Data!J:J,A7,Employee_Data!F:F,"Part-Time")</f>
        <v/>
      </c>
      <c r="G7" s="31">
        <f>COUNTIFS(Employee_Data!J:J,A7,Employee_Data!F:F,"Contract")</f>
        <v/>
      </c>
      <c r="H7" s="33">
        <f>AVERAGEIF(Employee_Data!J:J,A7,Employee_Data!K:K)</f>
        <v/>
      </c>
      <c r="I7" s="32">
        <f>IF(COUNTA(Employee_Data!J2:J201)=0,0,B7/COUNTA(Employee_Data!J2:J201))</f>
        <v/>
      </c>
    </row>
    <row r="8">
      <c r="A8" s="48" t="inlineStr">
        <is>
          <t>Bali</t>
        </is>
      </c>
      <c r="B8" s="24">
        <f>COUNTIF(Employee_Data!J:J,A8)</f>
        <v/>
      </c>
      <c r="C8" s="24">
        <f>COUNTIFS(Employee_Data!J:J,A8,Employee_Data!C:C,"Male")</f>
        <v/>
      </c>
      <c r="D8" s="24">
        <f>COUNTIFS(Employee_Data!J:J,A8,Employee_Data!C:C,"Female")</f>
        <v/>
      </c>
      <c r="E8" s="24">
        <f>COUNTIFS(Employee_Data!J:J,A8,Employee_Data!F:F,"Full-Time")</f>
        <v/>
      </c>
      <c r="F8" s="24">
        <f>COUNTIFS(Employee_Data!J:J,A8,Employee_Data!F:F,"Part-Time")</f>
        <v/>
      </c>
      <c r="G8" s="24">
        <f>COUNTIFS(Employee_Data!J:J,A8,Employee_Data!F:F,"Contract")</f>
        <v/>
      </c>
      <c r="H8" s="26">
        <f>AVERAGEIF(Employee_Data!J:J,A8,Employee_Data!K:K)</f>
        <v/>
      </c>
      <c r="I8" s="25">
        <f>IF(COUNTA(Employee_Data!J2:J201)=0,0,B8/COUNTA(Employee_Data!J2:J201))</f>
        <v/>
      </c>
    </row>
    <row r="9">
      <c r="A9" s="49" t="inlineStr">
        <is>
          <t>Makassar</t>
        </is>
      </c>
      <c r="B9" s="31">
        <f>COUNTIF(Employee_Data!J:J,A9)</f>
        <v/>
      </c>
      <c r="C9" s="31">
        <f>COUNTIFS(Employee_Data!J:J,A9,Employee_Data!C:C,"Male")</f>
        <v/>
      </c>
      <c r="D9" s="31">
        <f>COUNTIFS(Employee_Data!J:J,A9,Employee_Data!C:C,"Female")</f>
        <v/>
      </c>
      <c r="E9" s="31">
        <f>COUNTIFS(Employee_Data!J:J,A9,Employee_Data!F:F,"Full-Time")</f>
        <v/>
      </c>
      <c r="F9" s="31">
        <f>COUNTIFS(Employee_Data!J:J,A9,Employee_Data!F:F,"Part-Time")</f>
        <v/>
      </c>
      <c r="G9" s="31">
        <f>COUNTIFS(Employee_Data!J:J,A9,Employee_Data!F:F,"Contract")</f>
        <v/>
      </c>
      <c r="H9" s="33">
        <f>AVERAGEIF(Employee_Data!J:J,A9,Employee_Data!K:K)</f>
        <v/>
      </c>
      <c r="I9" s="32">
        <f>IF(COUNTA(Employee_Data!J2:J201)=0,0,B9/COUNTA(Employee_Data!J2:J201))</f>
        <v/>
      </c>
    </row>
    <row r="10">
      <c r="A10" s="48" t="inlineStr">
        <is>
          <t>Semarang</t>
        </is>
      </c>
      <c r="B10" s="24">
        <f>COUNTIF(Employee_Data!J:J,A10)</f>
        <v/>
      </c>
      <c r="C10" s="24">
        <f>COUNTIFS(Employee_Data!J:J,A10,Employee_Data!C:C,"Male")</f>
        <v/>
      </c>
      <c r="D10" s="24">
        <f>COUNTIFS(Employee_Data!J:J,A10,Employee_Data!C:C,"Female")</f>
        <v/>
      </c>
      <c r="E10" s="24">
        <f>COUNTIFS(Employee_Data!J:J,A10,Employee_Data!F:F,"Full-Time")</f>
        <v/>
      </c>
      <c r="F10" s="24">
        <f>COUNTIFS(Employee_Data!J:J,A10,Employee_Data!F:F,"Part-Time")</f>
        <v/>
      </c>
      <c r="G10" s="24">
        <f>COUNTIFS(Employee_Data!J:J,A10,Employee_Data!F:F,"Contract")</f>
        <v/>
      </c>
      <c r="H10" s="26">
        <f>AVERAGEIF(Employee_Data!J:J,A10,Employee_Data!K:K)</f>
        <v/>
      </c>
      <c r="I10" s="25">
        <f>IF(COUNTA(Employee_Data!J2:J201)=0,0,B10/COUNTA(Employee_Data!J2:J201))</f>
        <v/>
      </c>
    </row>
    <row r="11">
      <c r="A11" s="37" t="inlineStr">
        <is>
          <t>TOTAL</t>
        </is>
      </c>
      <c r="B11" s="38">
        <f>SUM(B4:B10)</f>
        <v/>
      </c>
      <c r="C11" s="38">
        <f>SUM(C4:C10)</f>
        <v/>
      </c>
      <c r="D11" s="38">
        <f>SUM(D4:D10)</f>
        <v/>
      </c>
      <c r="E11" s="38">
        <f>SUM(E4:E10)</f>
        <v/>
      </c>
      <c r="F11" s="38">
        <f>SUM(F4:F10)</f>
        <v/>
      </c>
      <c r="G11" s="38">
        <f>SUM(G4:G10)</f>
        <v/>
      </c>
      <c r="H11" s="38">
        <f>SUM(H4:H10)</f>
        <v/>
      </c>
      <c r="I11" s="20" t="n"/>
    </row>
  </sheetData>
  <mergeCells count="1">
    <mergeCell ref="A1:I1"/>
  </mergeCells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tabColor rgb="00C9A84C"/>
    <outlinePr summaryBelow="1" summaryRight="1"/>
    <pageSetUpPr/>
  </sheetPr>
  <dimension ref="A1:H18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9" customWidth="1" min="2" max="2"/>
    <col width="10" customWidth="1" min="3" max="3"/>
    <col width="14" customWidth="1" min="4" max="4"/>
    <col width="14" customWidth="1" min="5" max="5"/>
    <col width="14" customWidth="1" min="6" max="6"/>
    <col width="16" customWidth="1" min="7" max="7"/>
    <col width="13" customWidth="1" min="8" max="8"/>
  </cols>
  <sheetData>
    <row r="1" ht="40" customHeight="1">
      <c r="A1" s="42" t="inlineStr">
        <is>
          <t>POSITION LEVEL &amp; SALARY ANALYSIS</t>
        </is>
      </c>
    </row>
    <row r="3">
      <c r="A3" s="22" t="inlineStr">
        <is>
          <t>Position Level</t>
        </is>
      </c>
      <c r="B3" s="22" t="inlineStr">
        <is>
          <t>Count</t>
        </is>
      </c>
      <c r="C3" s="22" t="inlineStr">
        <is>
          <t>% Share</t>
        </is>
      </c>
      <c r="D3" s="22" t="inlineStr">
        <is>
          <t>Min Salary</t>
        </is>
      </c>
      <c r="E3" s="22" t="inlineStr">
        <is>
          <t>Max Salary</t>
        </is>
      </c>
      <c r="F3" s="22" t="inlineStr">
        <is>
          <t>Avg Salary</t>
        </is>
      </c>
      <c r="G3" s="22" t="inlineStr">
        <is>
          <t>Avg Performance</t>
        </is>
      </c>
      <c r="H3" s="22" t="inlineStr">
        <is>
          <t>Avg Tenure</t>
        </is>
      </c>
    </row>
    <row r="4">
      <c r="A4" s="48" t="inlineStr">
        <is>
          <t>Staff</t>
        </is>
      </c>
      <c r="B4" s="24">
        <f>COUNTIF(Employee_Data!E:E,A4)</f>
        <v/>
      </c>
      <c r="C4" s="25">
        <f>IF(COUNTA(Employee_Data!E2:E201)=0,0,B4/COUNTA(Employee_Data!E2:E201))</f>
        <v/>
      </c>
      <c r="D4" s="26">
        <f>MINIFS(Employee_Data!K:K,Employee_Data!E:E,A4)</f>
        <v/>
      </c>
      <c r="E4" s="26">
        <f>MAXIFS(Employee_Data!K:K,Employee_Data!E:E,A4)</f>
        <v/>
      </c>
      <c r="F4" s="26">
        <f>AVERAGEIF(Employee_Data!E:E,A4,Employee_Data!K:K)</f>
        <v/>
      </c>
      <c r="G4" s="27">
        <f>AVERAGEIF(Employee_Data!E:E,A4,Employee_Data!L:L)</f>
        <v/>
      </c>
      <c r="H4" s="50">
        <f>AVERAGEIF(Employee_Data!E:E,A4,Employee_Data!M:M)</f>
        <v/>
      </c>
    </row>
    <row r="5">
      <c r="A5" s="49" t="inlineStr">
        <is>
          <t>Junior</t>
        </is>
      </c>
      <c r="B5" s="31">
        <f>COUNTIF(Employee_Data!E:E,A5)</f>
        <v/>
      </c>
      <c r="C5" s="32">
        <f>IF(COUNTA(Employee_Data!E2:E201)=0,0,B5/COUNTA(Employee_Data!E2:E201))</f>
        <v/>
      </c>
      <c r="D5" s="33">
        <f>MINIFS(Employee_Data!K:K,Employee_Data!E:E,A5)</f>
        <v/>
      </c>
      <c r="E5" s="33">
        <f>MAXIFS(Employee_Data!K:K,Employee_Data!E:E,A5)</f>
        <v/>
      </c>
      <c r="F5" s="33">
        <f>AVERAGEIF(Employee_Data!E:E,A5,Employee_Data!K:K)</f>
        <v/>
      </c>
      <c r="G5" s="34">
        <f>AVERAGEIF(Employee_Data!E:E,A5,Employee_Data!L:L)</f>
        <v/>
      </c>
      <c r="H5" s="51">
        <f>AVERAGEIF(Employee_Data!E:E,A5,Employee_Data!M:M)</f>
        <v/>
      </c>
    </row>
    <row r="6">
      <c r="A6" s="48" t="inlineStr">
        <is>
          <t>Senior</t>
        </is>
      </c>
      <c r="B6" s="24">
        <f>COUNTIF(Employee_Data!E:E,A6)</f>
        <v/>
      </c>
      <c r="C6" s="25">
        <f>IF(COUNTA(Employee_Data!E2:E201)=0,0,B6/COUNTA(Employee_Data!E2:E201))</f>
        <v/>
      </c>
      <c r="D6" s="26">
        <f>MINIFS(Employee_Data!K:K,Employee_Data!E:E,A6)</f>
        <v/>
      </c>
      <c r="E6" s="26">
        <f>MAXIFS(Employee_Data!K:K,Employee_Data!E:E,A6)</f>
        <v/>
      </c>
      <c r="F6" s="26">
        <f>AVERAGEIF(Employee_Data!E:E,A6,Employee_Data!K:K)</f>
        <v/>
      </c>
      <c r="G6" s="27">
        <f>AVERAGEIF(Employee_Data!E:E,A6,Employee_Data!L:L)</f>
        <v/>
      </c>
      <c r="H6" s="50">
        <f>AVERAGEIF(Employee_Data!E:E,A6,Employee_Data!M:M)</f>
        <v/>
      </c>
    </row>
    <row r="7">
      <c r="A7" s="49" t="inlineStr">
        <is>
          <t>Supervisor</t>
        </is>
      </c>
      <c r="B7" s="31">
        <f>COUNTIF(Employee_Data!E:E,A7)</f>
        <v/>
      </c>
      <c r="C7" s="32">
        <f>IF(COUNTA(Employee_Data!E2:E201)=0,0,B7/COUNTA(Employee_Data!E2:E201))</f>
        <v/>
      </c>
      <c r="D7" s="33">
        <f>MINIFS(Employee_Data!K:K,Employee_Data!E:E,A7)</f>
        <v/>
      </c>
      <c r="E7" s="33">
        <f>MAXIFS(Employee_Data!K:K,Employee_Data!E:E,A7)</f>
        <v/>
      </c>
      <c r="F7" s="33">
        <f>AVERAGEIF(Employee_Data!E:E,A7,Employee_Data!K:K)</f>
        <v/>
      </c>
      <c r="G7" s="34">
        <f>AVERAGEIF(Employee_Data!E:E,A7,Employee_Data!L:L)</f>
        <v/>
      </c>
      <c r="H7" s="51">
        <f>AVERAGEIF(Employee_Data!E:E,A7,Employee_Data!M:M)</f>
        <v/>
      </c>
    </row>
    <row r="8">
      <c r="A8" s="48" t="inlineStr">
        <is>
          <t>Manager</t>
        </is>
      </c>
      <c r="B8" s="24">
        <f>COUNTIF(Employee_Data!E:E,A8)</f>
        <v/>
      </c>
      <c r="C8" s="25">
        <f>IF(COUNTA(Employee_Data!E2:E201)=0,0,B8/COUNTA(Employee_Data!E2:E201))</f>
        <v/>
      </c>
      <c r="D8" s="26">
        <f>MINIFS(Employee_Data!K:K,Employee_Data!E:E,A8)</f>
        <v/>
      </c>
      <c r="E8" s="26">
        <f>MAXIFS(Employee_Data!K:K,Employee_Data!E:E,A8)</f>
        <v/>
      </c>
      <c r="F8" s="26">
        <f>AVERAGEIF(Employee_Data!E:E,A8,Employee_Data!K:K)</f>
        <v/>
      </c>
      <c r="G8" s="27">
        <f>AVERAGEIF(Employee_Data!E:E,A8,Employee_Data!L:L)</f>
        <v/>
      </c>
      <c r="H8" s="50">
        <f>AVERAGEIF(Employee_Data!E:E,A8,Employee_Data!M:M)</f>
        <v/>
      </c>
    </row>
    <row r="9">
      <c r="A9" s="49" t="inlineStr">
        <is>
          <t>Director</t>
        </is>
      </c>
      <c r="B9" s="31">
        <f>COUNTIF(Employee_Data!E:E,A9)</f>
        <v/>
      </c>
      <c r="C9" s="32">
        <f>IF(COUNTA(Employee_Data!E2:E201)=0,0,B9/COUNTA(Employee_Data!E2:E201))</f>
        <v/>
      </c>
      <c r="D9" s="33">
        <f>MINIFS(Employee_Data!K:K,Employee_Data!E:E,A9)</f>
        <v/>
      </c>
      <c r="E9" s="33">
        <f>MAXIFS(Employee_Data!K:K,Employee_Data!E:E,A9)</f>
        <v/>
      </c>
      <c r="F9" s="33">
        <f>AVERAGEIF(Employee_Data!E:E,A9,Employee_Data!K:K)</f>
        <v/>
      </c>
      <c r="G9" s="34">
        <f>AVERAGEIF(Employee_Data!E:E,A9,Employee_Data!L:L)</f>
        <v/>
      </c>
      <c r="H9" s="51">
        <f>AVERAGEIF(Employee_Data!E:E,A9,Employee_Data!M:M)</f>
        <v/>
      </c>
    </row>
    <row r="12">
      <c r="A12" s="19" t="inlineStr">
        <is>
          <t>WORKFORCE AGE BRACKET</t>
        </is>
      </c>
      <c r="B12" s="20" t="n"/>
      <c r="C12" s="20" t="n"/>
    </row>
    <row r="13">
      <c r="A13" s="22" t="inlineStr">
        <is>
          <t>Age Group</t>
        </is>
      </c>
      <c r="B13" s="22" t="inlineStr">
        <is>
          <t>Count</t>
        </is>
      </c>
      <c r="C13" s="22" t="inlineStr">
        <is>
          <t>% Share</t>
        </is>
      </c>
    </row>
    <row r="14">
      <c r="A14" s="28" t="inlineStr">
        <is>
          <t>20-29</t>
        </is>
      </c>
      <c r="B14" s="24">
        <f>COUNTIFS(Employee_Data!H:H,"&gt;="&amp;20,Employee_Data!H:H,"&lt;="&amp;29)</f>
        <v/>
      </c>
      <c r="C14" s="25">
        <f>IF(COUNTA(Employee_Data!H2:H201)=0,0,B14/COUNTA(Employee_Data!H2:H201))</f>
        <v/>
      </c>
    </row>
    <row r="15">
      <c r="A15" s="35" t="inlineStr">
        <is>
          <t>30-39</t>
        </is>
      </c>
      <c r="B15" s="31">
        <f>COUNTIFS(Employee_Data!H:H,"&gt;="&amp;30,Employee_Data!H:H,"&lt;="&amp;39)</f>
        <v/>
      </c>
      <c r="C15" s="32">
        <f>IF(COUNTA(Employee_Data!H2:H201)=0,0,B15/COUNTA(Employee_Data!H2:H201))</f>
        <v/>
      </c>
    </row>
    <row r="16">
      <c r="A16" s="28" t="inlineStr">
        <is>
          <t>40-49</t>
        </is>
      </c>
      <c r="B16" s="24">
        <f>COUNTIFS(Employee_Data!H:H,"&gt;="&amp;40,Employee_Data!H:H,"&lt;="&amp;49)</f>
        <v/>
      </c>
      <c r="C16" s="25">
        <f>IF(COUNTA(Employee_Data!H2:H201)=0,0,B16/COUNTA(Employee_Data!H2:H201))</f>
        <v/>
      </c>
    </row>
    <row r="17">
      <c r="A17" s="35" t="inlineStr">
        <is>
          <t>50-59</t>
        </is>
      </c>
      <c r="B17" s="31">
        <f>COUNTIFS(Employee_Data!H:H,"&gt;="&amp;50,Employee_Data!H:H,"&lt;="&amp;59)</f>
        <v/>
      </c>
      <c r="C17" s="32">
        <f>IF(COUNTA(Employee_Data!H2:H201)=0,0,B17/COUNTA(Employee_Data!H2:H201))</f>
        <v/>
      </c>
    </row>
    <row r="18">
      <c r="A18" s="28" t="inlineStr">
        <is>
          <t>60+</t>
        </is>
      </c>
      <c r="B18" s="24">
        <f>COUNTIFS(Employee_Data!H:H,"&gt;="&amp;60,Employee_Data!H:H,"&lt;="&amp;99)</f>
        <v/>
      </c>
      <c r="C18" s="25">
        <f>IF(COUNTA(Employee_Data!H2:H201)=0,0,B18/COUNTA(Employee_Data!H2:H201))</f>
        <v/>
      </c>
    </row>
  </sheetData>
  <mergeCells count="2">
    <mergeCell ref="A12:D12"/>
    <mergeCell ref="A1:H1"/>
  </mergeCells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tabColor rgb="00C00000"/>
    <outlinePr summaryBelow="1" summaryRight="1"/>
    <pageSetUpPr/>
  </sheetPr>
  <dimension ref="A1:B51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70" customWidth="1" min="2" max="2"/>
  </cols>
  <sheetData>
    <row r="1" ht="50" customHeight="1">
      <c r="A1" s="52" t="inlineStr">
        <is>
          <t>STEP-BY-STEP: CONNECT THIS EXCEL TO POWER BI</t>
        </is>
      </c>
      <c r="B1" s="20" t="n"/>
    </row>
    <row r="2">
      <c r="A2" s="20" t="n"/>
      <c r="B2" s="20" t="n"/>
    </row>
    <row r="3" ht="22" customHeight="1">
      <c r="A3" s="53" t="inlineStr">
        <is>
          <t xml:space="preserve">  STEP 1 – INSTALL POWER BI DESKTOP</t>
        </is>
      </c>
      <c r="B3" s="20" t="n"/>
    </row>
    <row r="4" ht="18" customHeight="1">
      <c r="A4" s="54" t="inlineStr">
        <is>
          <t>URL ►</t>
        </is>
      </c>
      <c r="B4" s="55" t="inlineStr">
        <is>
          <t xml:space="preserve">  https://powerbi.microsoft.com/en-us/downloads/ → Click 'Download free'</t>
        </is>
      </c>
    </row>
    <row r="5" ht="18" customHeight="1">
      <c r="A5" s="54" t="inlineStr">
        <is>
          <t>Install</t>
        </is>
      </c>
      <c r="B5" s="56" t="inlineStr">
        <is>
          <t xml:space="preserve">  Run the .msi installer → Accept license → Click Install → Launch Power BI Desktop</t>
        </is>
      </c>
    </row>
    <row r="6" ht="18" customHeight="1">
      <c r="A6" s="54" t="inlineStr">
        <is>
          <t>Sign in</t>
        </is>
      </c>
      <c r="B6" s="55" t="inlineStr">
        <is>
          <t xml:space="preserve">  Sign in with your Microsoft / Office 365 account (or create a free account)</t>
        </is>
      </c>
    </row>
    <row r="7" ht="6" customHeight="1">
      <c r="A7" s="20" t="n"/>
      <c r="B7" s="20" t="n"/>
    </row>
    <row r="8" ht="22" customHeight="1">
      <c r="A8" s="53" t="inlineStr">
        <is>
          <t xml:space="preserve">  STEP 2 – CONNECT THIS EXCEL FILE</t>
        </is>
      </c>
      <c r="B8" s="20" t="n"/>
    </row>
    <row r="9" ht="18" customHeight="1">
      <c r="A9" s="54" t="inlineStr">
        <is>
          <t>Action</t>
        </is>
      </c>
      <c r="B9" s="56" t="inlineStr">
        <is>
          <t xml:space="preserve">  Home ribbon → Get Data → Excel Workbook</t>
        </is>
      </c>
    </row>
    <row r="10" ht="18" customHeight="1">
      <c r="A10" s="54" t="inlineStr">
        <is>
          <t>Browse</t>
        </is>
      </c>
      <c r="B10" s="55" t="inlineStr">
        <is>
          <t xml:space="preserve">  Navigate to this file (Human_Capital_Dashboard.xlsx) → Open</t>
        </is>
      </c>
    </row>
    <row r="11" ht="18" customHeight="1">
      <c r="A11" s="54" t="inlineStr">
        <is>
          <t>Select</t>
        </is>
      </c>
      <c r="B11" s="56" t="inlineStr">
        <is>
          <t xml:space="preserve">  In Navigator pane: check  Employee_Data  Summary_KPI  Headcount_Trend  Regional_Distribution  Position_Salary</t>
        </is>
      </c>
    </row>
    <row r="12" ht="18" customHeight="1">
      <c r="A12" s="54" t="inlineStr">
        <is>
          <t>Load</t>
        </is>
      </c>
      <c r="B12" s="55" t="inlineStr">
        <is>
          <t xml:space="preserve">  Click 'Transform Data' to open Power Query Editor, OR click 'Load' to load directly</t>
        </is>
      </c>
    </row>
    <row r="13" ht="6" customHeight="1">
      <c r="A13" s="20" t="n"/>
      <c r="B13" s="20" t="n"/>
    </row>
    <row r="14" ht="22" customHeight="1">
      <c r="A14" s="53" t="inlineStr">
        <is>
          <t xml:space="preserve">  STEP 3 – POWER QUERY TRANSFORMATIONS</t>
        </is>
      </c>
      <c r="B14" s="20" t="n"/>
    </row>
    <row r="15" ht="18" customHeight="1">
      <c r="A15" s="54" t="inlineStr">
        <is>
          <t>Join_Date</t>
        </is>
      </c>
      <c r="B15" s="56" t="inlineStr">
        <is>
          <t xml:space="preserve">  Select Join_Date column → Transform tab → Data Type → Date</t>
        </is>
      </c>
    </row>
    <row r="16" ht="18" customHeight="1">
      <c r="A16" s="54" t="inlineStr">
        <is>
          <t>Salary</t>
        </is>
      </c>
      <c r="B16" s="55" t="inlineStr">
        <is>
          <t xml:space="preserve">  Select Salary column → Transform → Data Type → Whole Number</t>
        </is>
      </c>
    </row>
    <row r="17" ht="18" customHeight="1">
      <c r="A17" s="54" t="inlineStr">
        <is>
          <t>Age/Tenure</t>
        </is>
      </c>
      <c r="B17" s="56" t="inlineStr">
        <is>
          <t xml:space="preserve">  Select Age &amp; Tenure_Years → Data Type → Whole Number</t>
        </is>
      </c>
    </row>
    <row r="18" ht="18" customHeight="1">
      <c r="A18" s="54" t="inlineStr">
        <is>
          <t>Filter</t>
        </is>
      </c>
      <c r="B18" s="55" t="inlineStr">
        <is>
          <t xml:space="preserve">  Select Status column → Filter Rows → Equals 'Active' (for active-only visuals)</t>
        </is>
      </c>
    </row>
    <row r="19" ht="18" customHeight="1">
      <c r="A19" s="54" t="inlineStr">
        <is>
          <t>Close</t>
        </is>
      </c>
      <c r="B19" s="56" t="inlineStr">
        <is>
          <t xml:space="preserve">  Home → Close &amp; Apply</t>
        </is>
      </c>
    </row>
    <row r="20" ht="6" customHeight="1">
      <c r="A20" s="20" t="n"/>
      <c r="B20" s="20" t="n"/>
    </row>
    <row r="21" ht="22" customHeight="1">
      <c r="A21" s="53" t="inlineStr">
        <is>
          <t xml:space="preserve">  STEP 4 – BUILD DATA MODEL (Relationships)</t>
        </is>
      </c>
      <c r="B21" s="20" t="n"/>
    </row>
    <row r="22" ht="18" customHeight="1">
      <c r="A22" s="54" t="inlineStr">
        <is>
          <t>Open</t>
        </is>
      </c>
      <c r="B22" s="55" t="inlineStr">
        <is>
          <t xml:space="preserve">  Model view (left sidebar icon) → drag Emp_ID from Employee_Data to any lookup table</t>
        </is>
      </c>
    </row>
    <row r="23" ht="18" customHeight="1">
      <c r="A23" s="54" t="inlineStr">
        <is>
          <t>Tip</t>
        </is>
      </c>
      <c r="B23" s="56" t="inlineStr">
        <is>
          <t xml:space="preserve">  All lookup tables should have a 1-to-many relationship with Employee_Data</t>
        </is>
      </c>
    </row>
    <row r="24" ht="6" customHeight="1">
      <c r="A24" s="20" t="n"/>
      <c r="B24" s="20" t="n"/>
    </row>
    <row r="25" ht="22" customHeight="1">
      <c r="A25" s="53" t="inlineStr">
        <is>
          <t xml:space="preserve">  STEP 5 – CREATE MEASURES (DAX)</t>
        </is>
      </c>
      <c r="B25" s="20" t="n"/>
    </row>
    <row r="26" ht="18" customHeight="1">
      <c r="A26" s="54" t="inlineStr">
        <is>
          <t>Total Emp</t>
        </is>
      </c>
      <c r="B26" s="55" t="inlineStr">
        <is>
          <t xml:space="preserve">  Total Employees = COUNTROWS(Employee_Data)</t>
        </is>
      </c>
    </row>
    <row r="27" ht="18" customHeight="1">
      <c r="A27" s="54" t="inlineStr">
        <is>
          <t>Active</t>
        </is>
      </c>
      <c r="B27" s="56" t="inlineStr">
        <is>
          <t xml:space="preserve">  Active Employees = CALCULATE(COUNTROWS(Employee_Data), Employee_Data[Status]="Active")</t>
        </is>
      </c>
    </row>
    <row r="28" ht="18" customHeight="1">
      <c r="A28" s="54" t="inlineStr">
        <is>
          <t>Attrition</t>
        </is>
      </c>
      <c r="B28" s="55" t="inlineStr">
        <is>
          <t xml:space="preserve">  Attrition Rate = DIVIDE([Active Employees], [Total Employees])</t>
        </is>
      </c>
    </row>
    <row r="29" ht="18" customHeight="1">
      <c r="A29" s="54" t="inlineStr">
        <is>
          <t>Avg Sal</t>
        </is>
      </c>
      <c r="B29" s="56" t="inlineStr">
        <is>
          <t xml:space="preserve">  Avg Salary = AVERAGE(Employee_Data[Salary])</t>
        </is>
      </c>
    </row>
    <row r="30" ht="18" customHeight="1">
      <c r="A30" s="54" t="inlineStr">
        <is>
          <t>Avg Perf</t>
        </is>
      </c>
      <c r="B30" s="55" t="inlineStr">
        <is>
          <t xml:space="preserve">  Avg Performance = AVERAGE(Employee_Data[Performance_Score])</t>
        </is>
      </c>
    </row>
    <row r="31" ht="18" customHeight="1">
      <c r="A31" s="54" t="inlineStr">
        <is>
          <t>Avg Age</t>
        </is>
      </c>
      <c r="B31" s="56" t="inlineStr">
        <is>
          <t xml:space="preserve">  Avg Age = AVERAGE(Employee_Data[Age])</t>
        </is>
      </c>
    </row>
    <row r="32" ht="6" customHeight="1">
      <c r="A32" s="20" t="n"/>
      <c r="B32" s="20" t="n"/>
    </row>
    <row r="33" ht="22" customHeight="1">
      <c r="A33" s="53" t="inlineStr">
        <is>
          <t xml:space="preserve">  STEP 6 – BUILD VISUALS</t>
        </is>
      </c>
      <c r="B33" s="20" t="n"/>
    </row>
    <row r="34" ht="18" customHeight="1">
      <c r="A34" s="54" t="inlineStr">
        <is>
          <t>KPI Cards</t>
        </is>
      </c>
      <c r="B34" s="55" t="inlineStr">
        <is>
          <t xml:space="preserve">  Insert → Card visual → drag each Measure into Value field</t>
        </is>
      </c>
    </row>
    <row r="35" ht="18" customHeight="1">
      <c r="A35" s="54" t="inlineStr">
        <is>
          <t>Bar Chart</t>
        </is>
      </c>
      <c r="B35" s="56" t="inlineStr">
        <is>
          <t xml:space="preserve">  Insert → Clustered Bar → Axis = Department, Value = Total Employees</t>
        </is>
      </c>
    </row>
    <row r="36" ht="18" customHeight="1">
      <c r="A36" s="54" t="inlineStr">
        <is>
          <t>Pie Chart</t>
        </is>
      </c>
      <c r="B36" s="55" t="inlineStr">
        <is>
          <t xml:space="preserve">  Insert → Pie Chart → Legend = Gender, Values = Total Employees</t>
        </is>
      </c>
    </row>
    <row r="37" ht="18" customHeight="1">
      <c r="A37" s="54" t="inlineStr">
        <is>
          <t>Map</t>
        </is>
      </c>
      <c r="B37" s="56" t="inlineStr">
        <is>
          <t xml:space="preserve">  Insert → Map or Filled Map → Location = Region, Values = Total Employees</t>
        </is>
      </c>
    </row>
    <row r="38" ht="18" customHeight="1">
      <c r="A38" s="54" t="inlineStr">
        <is>
          <t>Line Chart</t>
        </is>
      </c>
      <c r="B38" s="55" t="inlineStr">
        <is>
          <t xml:space="preserve">  Insert → Line Chart → Axis = Join_Date (year), Values = Total Employees</t>
        </is>
      </c>
    </row>
    <row r="39" ht="18" customHeight="1">
      <c r="A39" s="54" t="inlineStr">
        <is>
          <t>Table</t>
        </is>
      </c>
      <c r="B39" s="56" t="inlineStr">
        <is>
          <t xml:space="preserve">  Insert → Table → Add: Department, Position, Avg Salary, Avg Performance</t>
        </is>
      </c>
    </row>
    <row r="40" ht="18" customHeight="1">
      <c r="A40" s="54" t="inlineStr">
        <is>
          <t>Slicer</t>
        </is>
      </c>
      <c r="B40" s="55" t="inlineStr">
        <is>
          <t xml:space="preserve">  Insert → Slicer → add slicers for: Department / Region / Gender / Year</t>
        </is>
      </c>
    </row>
    <row r="41" ht="6" customHeight="1">
      <c r="A41" s="20" t="n"/>
      <c r="B41" s="20" t="n"/>
    </row>
    <row r="42" ht="22" customHeight="1">
      <c r="A42" s="53" t="inlineStr">
        <is>
          <t xml:space="preserve">  STEP 7 – FORMAT DASHBOARD</t>
        </is>
      </c>
      <c r="B42" s="20" t="n"/>
    </row>
    <row r="43" ht="18" customHeight="1">
      <c r="A43" s="54" t="inlineStr">
        <is>
          <t>Theme</t>
        </is>
      </c>
      <c r="B43" s="56" t="inlineStr">
        <is>
          <t xml:space="preserve">  View tab → Themes → choose 'Executive' or upload custom theme JSON</t>
        </is>
      </c>
    </row>
    <row r="44" ht="18" customHeight="1">
      <c r="A44" s="54" t="inlineStr">
        <is>
          <t>Colors</t>
        </is>
      </c>
      <c r="B44" s="55" t="inlineStr">
        <is>
          <t xml:space="preserve">  Recommended palette: #1F3864 (navy), #2E75B6 (blue), #C9A84C (gold)</t>
        </is>
      </c>
    </row>
    <row r="45" ht="18" customHeight="1">
      <c r="A45" s="54" t="inlineStr">
        <is>
          <t>Canvas</t>
        </is>
      </c>
      <c r="B45" s="56" t="inlineStr">
        <is>
          <t xml:space="preserve">  View → Page view → set to 1280×720 or 1920×1080</t>
        </is>
      </c>
    </row>
    <row r="46" ht="6" customHeight="1">
      <c r="A46" s="20" t="n"/>
      <c r="B46" s="20" t="n"/>
    </row>
    <row r="47" ht="22" customHeight="1">
      <c r="A47" s="53" t="inlineStr">
        <is>
          <t xml:space="preserve">  STEP 8 – PUBLISH TO POWER BI SERVICE</t>
        </is>
      </c>
      <c r="B47" s="20" t="n"/>
    </row>
    <row r="48" ht="18" customHeight="1">
      <c r="A48" s="54" t="inlineStr">
        <is>
          <t>Publish</t>
        </is>
      </c>
      <c r="B48" s="55" t="inlineStr">
        <is>
          <t xml:space="preserve">  Home → Publish → select workspace → wait for upload to complete</t>
        </is>
      </c>
    </row>
    <row r="49" ht="18" customHeight="1">
      <c r="A49" s="54" t="inlineStr">
        <is>
          <t>Service</t>
        </is>
      </c>
      <c r="B49" s="56" t="inlineStr">
        <is>
          <t xml:space="preserve">  Go to app.powerbi.com → find your dashboard in My Workspace</t>
        </is>
      </c>
    </row>
    <row r="50" ht="18" customHeight="1">
      <c r="A50" s="54" t="inlineStr">
        <is>
          <t>Share</t>
        </is>
      </c>
      <c r="B50" s="55" t="inlineStr">
        <is>
          <t xml:space="preserve">  Click '...' menu → Share → enter colleague emails → Send</t>
        </is>
      </c>
    </row>
    <row r="51" ht="18" customHeight="1">
      <c r="A51" s="54" t="inlineStr">
        <is>
          <t>Schedule</t>
        </is>
      </c>
      <c r="B51" s="56" t="inlineStr">
        <is>
          <t xml:space="preserve">  Dataset → Settings → Scheduled Refresh → set daily/weekly refresh</t>
        </is>
      </c>
    </row>
  </sheetData>
  <mergeCells count="9">
    <mergeCell ref="A21:B21"/>
    <mergeCell ref="A25:B25"/>
    <mergeCell ref="A33:B33"/>
    <mergeCell ref="A47:B47"/>
    <mergeCell ref="A42:B42"/>
    <mergeCell ref="A14:B14"/>
    <mergeCell ref="A1:B1"/>
    <mergeCell ref="A8:B8"/>
    <mergeCell ref="A3:B3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595959"/>
    <outlinePr summaryBelow="1" summaryRight="1"/>
    <pageSetUpPr/>
  </sheetPr>
  <dimension ref="A1:B17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55" customWidth="1" min="2" max="2"/>
  </cols>
  <sheetData>
    <row r="1" ht="40" customHeight="1">
      <c r="A1" s="57" t="inlineStr">
        <is>
          <t>FIELD GLOSSARY &amp; DATA DICTIONARY</t>
        </is>
      </c>
      <c r="B1" s="20" t="n"/>
    </row>
    <row r="2">
      <c r="A2" s="20" t="n"/>
      <c r="B2" s="20" t="n"/>
    </row>
    <row r="3">
      <c r="A3" s="43" t="inlineStr">
        <is>
          <t>Field Name</t>
        </is>
      </c>
      <c r="B3" s="43" t="inlineStr">
        <is>
          <t>Description</t>
        </is>
      </c>
    </row>
    <row r="4">
      <c r="A4" s="58" t="inlineStr">
        <is>
          <t>Emp_ID</t>
        </is>
      </c>
      <c r="B4" s="59" t="inlineStr">
        <is>
          <t>Unique employee identifier — format EMP0001</t>
        </is>
      </c>
    </row>
    <row r="5">
      <c r="A5" s="60" t="inlineStr">
        <is>
          <t>Full_Name</t>
        </is>
      </c>
      <c r="B5" s="61" t="inlineStr">
        <is>
          <t>Employee full name (First + Last)</t>
        </is>
      </c>
    </row>
    <row r="6">
      <c r="A6" s="58" t="inlineStr">
        <is>
          <t>Gender</t>
        </is>
      </c>
      <c r="B6" s="59" t="inlineStr">
        <is>
          <t>Male / Female</t>
        </is>
      </c>
    </row>
    <row r="7">
      <c r="A7" s="60" t="inlineStr">
        <is>
          <t>Department</t>
        </is>
      </c>
      <c r="B7" s="61" t="inlineStr">
        <is>
          <t>Business unit: Operations, Finance, HR, Marketing, IT, Sales, Legal, R&amp;D</t>
        </is>
      </c>
    </row>
    <row r="8">
      <c r="A8" s="58" t="inlineStr">
        <is>
          <t>Position_Level</t>
        </is>
      </c>
      <c r="B8" s="59" t="inlineStr">
        <is>
          <t>Hierarchy: Staff → Junior → Senior → Supervisor → Manager → Director</t>
        </is>
      </c>
    </row>
    <row r="9">
      <c r="A9" s="60" t="inlineStr">
        <is>
          <t>Employment_Type</t>
        </is>
      </c>
      <c r="B9" s="61" t="inlineStr">
        <is>
          <t>Full-Time | Part-Time | Contract</t>
        </is>
      </c>
    </row>
    <row r="10">
      <c r="A10" s="58" t="inlineStr">
        <is>
          <t>Join_Date</t>
        </is>
      </c>
      <c r="B10" s="59" t="inlineStr">
        <is>
          <t>Date employee joined the company (YYYY-MM-DD)</t>
        </is>
      </c>
    </row>
    <row r="11">
      <c r="A11" s="60" t="inlineStr">
        <is>
          <t>Age</t>
        </is>
      </c>
      <c r="B11" s="61" t="inlineStr">
        <is>
          <t>Employee age in years as of current year</t>
        </is>
      </c>
    </row>
    <row r="12">
      <c r="A12" s="58" t="inlineStr">
        <is>
          <t>Education</t>
        </is>
      </c>
      <c r="B12" s="59" t="inlineStr">
        <is>
          <t>Highest qualification: High School | Diploma | Bachelor | Master | PhD</t>
        </is>
      </c>
    </row>
    <row r="13">
      <c r="A13" s="60" t="inlineStr">
        <is>
          <t>Region</t>
        </is>
      </c>
      <c r="B13" s="61" t="inlineStr">
        <is>
          <t>Office/base region across Indonesia</t>
        </is>
      </c>
    </row>
    <row r="14">
      <c r="A14" s="58" t="inlineStr">
        <is>
          <t>Salary</t>
        </is>
      </c>
      <c r="B14" s="59" t="inlineStr">
        <is>
          <t>Monthly gross salary in IDR (Indonesian Rupiah)</t>
        </is>
      </c>
    </row>
    <row r="15">
      <c r="A15" s="60" t="inlineStr">
        <is>
          <t>Performance_Score</t>
        </is>
      </c>
      <c r="B15" s="61" t="inlineStr">
        <is>
          <t>Annual performance rating: 1.0 (Poor) – 5.0 (Excellent)</t>
        </is>
      </c>
    </row>
    <row r="16">
      <c r="A16" s="58" t="inlineStr">
        <is>
          <t>Tenure_Years</t>
        </is>
      </c>
      <c r="B16" s="59" t="inlineStr">
        <is>
          <t>Years since Join_Date to current year</t>
        </is>
      </c>
    </row>
    <row r="17">
      <c r="A17" s="60" t="inlineStr">
        <is>
          <t>Status</t>
        </is>
      </c>
      <c r="B17" s="61" t="inlineStr">
        <is>
          <t>Active = current employee | Inactive = resigned/terminated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2026-03-12T12:29:42Z</dcterms:created>
  <dcterms:modified xmlns:dcterms="http://purl.org/dc/terms/" xmlns:xsi="http://www.w3.org/2001/XMLSchema-instance" xsi:type="dcterms:W3CDTF">2026-03-12T12:29:42Z</dcterms:modified>
</cp:coreProperties>
</file>